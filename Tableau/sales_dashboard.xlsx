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hav Bhatnagar\OneDrive\Desktop\Project\submission\"/>
    </mc:Choice>
  </mc:AlternateContent>
  <xr:revisionPtr revIDLastSave="0" documentId="8_{45E0F191-143C-4874-83BE-11B35FA771C0}" xr6:coauthVersionLast="47" xr6:coauthVersionMax="47" xr10:uidLastSave="{00000000-0000-0000-0000-000000000000}"/>
  <bookViews>
    <workbookView xWindow="7200" yWindow="690" windowWidth="21600" windowHeight="11295" xr2:uid="{CA744C95-310D-4B1F-9711-3AA1512E1090}"/>
  </bookViews>
  <sheets>
    <sheet name="bottom_subcategories" sheetId="10" r:id="rId1"/>
    <sheet name="top_subcategories" sheetId="9" r:id="rId2"/>
    <sheet name="sales_by_ship_mode" sheetId="8" r:id="rId3"/>
    <sheet name="sales_by_campaign" sheetId="7" r:id="rId4"/>
    <sheet name="sales_by_segment" sheetId="6" r:id="rId5"/>
    <sheet name="sales_by_category" sheetId="5" r:id="rId6"/>
    <sheet name="sales_by_region" sheetId="4" r:id="rId7"/>
    <sheet name="sales_by_month" sheetId="3" r:id="rId8"/>
    <sheet name="sales_kpis" sheetId="2" r:id="rId9"/>
    <sheet name="Dashboard" sheetId="1" r:id="rId10"/>
  </sheets>
  <definedNames>
    <definedName name="_xlnm._FilterDatabase" localSheetId="0" hidden="1">bottom_subcategories!$A$1:$K$1</definedName>
    <definedName name="_xlnm._FilterDatabase" localSheetId="3" hidden="1">sales_by_campaign!$A$1:$J$1</definedName>
    <definedName name="_xlnm._FilterDatabase" localSheetId="5" hidden="1">sales_by_category!$A$1:$J$1</definedName>
    <definedName name="_xlnm._FilterDatabase" localSheetId="7" hidden="1">sales_by_month!$A$1:$J$1</definedName>
    <definedName name="_xlnm._FilterDatabase" localSheetId="6" hidden="1">sales_by_region!$A$1:$J$1</definedName>
    <definedName name="_xlnm._FilterDatabase" localSheetId="4" hidden="1">sales_by_segment!$A$1:$J$1</definedName>
    <definedName name="_xlnm._FilterDatabase" localSheetId="2" hidden="1">sales_by_ship_mode!$A$1:$J$1</definedName>
    <definedName name="_xlnm._FilterDatabase" localSheetId="8" hidden="1">sales_kpis!$A$1:$B$1</definedName>
    <definedName name="_xlnm._FilterDatabase" localSheetId="1" hidden="1">top_subcategories!$A$1:$K$1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<sst xmlns="http://schemas.openxmlformats.org/spreadsheetml/2006/main" count="233" uniqueCount="85">
  <si>
    <t>Sales Dashboard Summary</t>
  </si>
  <si>
    <t>metric</t>
  </si>
  <si>
    <t>value</t>
  </si>
  <si>
    <t>Orders</t>
  </si>
  <si>
    <t>Total sales</t>
  </si>
  <si>
    <t>Total profit</t>
  </si>
  <si>
    <t>Profit margin</t>
  </si>
  <si>
    <t>Quantity sold</t>
  </si>
  <si>
    <t>Return rate</t>
  </si>
  <si>
    <t>Average delivery days</t>
  </si>
  <si>
    <t>Average customer rating</t>
  </si>
  <si>
    <t>Missing customer ratings</t>
  </si>
  <si>
    <t>Missing campaign channels</t>
  </si>
  <si>
    <t>order_month</t>
  </si>
  <si>
    <t>sales</t>
  </si>
  <si>
    <t>profit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</si>
  <si>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</si>
  <si>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</si>
  <si>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</si>
  <si>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</si>
  <si>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</si>
  <si>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</si>
  <si>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</si>
  <si>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</si>
  <si>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</si>
  <si>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</si>
  <si>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</si>
  <si>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</si>
  <si>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</si>
  <si>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</si>
  <si>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</si>
  <si>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</si>
  <si>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</si>
  <si>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</si>
  <si>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</si>
  <si>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</si>
  <si>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</si>
  <si>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</si>
  <si>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</si>
  <si>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</si>
  <si>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category</t>
  </si>
  <si>
    <t>profit_margin</t>
  </si>
  <si>
    <t>Technology</t>
  </si>
  <si>
    <t>Furniture</t>
  </si>
  <si>
    <t>Office Supplies</t>
  </si>
  <si>
    <t>region</t>
  </si>
  <si>
    <t>return_rate</t>
  </si>
  <si>
    <t>South</t>
  </si>
  <si>
    <t>North</t>
  </si>
  <si>
    <t>West</t>
  </si>
  <si>
    <t>East</t>
  </si>
  <si>
    <t>orders</t>
  </si>
  <si>
    <t>quantity</t>
  </si>
  <si>
    <t>returns</t>
  </si>
  <si>
    <t>avg_delivery_days</t>
  </si>
  <si>
    <t>avg_rating</t>
  </si>
  <si>
    <t>customer_segment</t>
  </si>
  <si>
    <t>Home Office</t>
  </si>
  <si>
    <t>Consumer</t>
  </si>
  <si>
    <t>Corporate</t>
  </si>
  <si>
    <t>campaign_channel</t>
  </si>
  <si>
    <t>Organic</t>
  </si>
  <si>
    <t>Paid</t>
  </si>
  <si>
    <t>Email</t>
  </si>
  <si>
    <t>Social</t>
  </si>
  <si>
    <t>Referral</t>
  </si>
  <si>
    <t>ship_mode</t>
  </si>
  <si>
    <t>Standard Class</t>
  </si>
  <si>
    <t>Second Class</t>
  </si>
  <si>
    <t>First Class</t>
  </si>
  <si>
    <t>Same Day</t>
  </si>
  <si>
    <t>sub_category</t>
  </si>
  <si>
    <t>Copiers</t>
  </si>
  <si>
    <t>Accessories</t>
  </si>
  <si>
    <t>Phones</t>
  </si>
  <si>
    <t>Machines</t>
  </si>
  <si>
    <t>Chairs</t>
  </si>
  <si>
    <t>Furnishings</t>
  </si>
  <si>
    <t>Tables</t>
  </si>
  <si>
    <t>Bookcases</t>
  </si>
  <si>
    <t>Labels</t>
  </si>
  <si>
    <t>Art</t>
  </si>
  <si>
    <t>Paper</t>
  </si>
  <si>
    <t>Binders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</si>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</sst>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74E6F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C1D7E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/>
    <xf numFmtId="0" fontId="1" fillId="4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Dashboard!$A$16</c:f>
              <c:strCache>
                <c:ptCount val="1"/>
                <c:pt idx="0">
                  <c:v>2024-01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Dashboard!$B$16:$C$16</c:f>
              <c:numCache>
                <c:formatCode>General</c:formatCode>
                <c:ptCount val="2"/>
                <c:pt idx="0">
                  <c:v>9446558.1699999999</c:v>
                </c:pt>
                <c:pt idx="1">
                  <c:v>1462978.08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F-491B-86AF-31676FD2B55F}"/>
            </c:ext>
          </c:extLst>
        </c:ser>
        <c:ser>
          <c:idx val="1"/>
          <c:order val="1"/>
          <c:tx>
            <c:strRef>
              <c:f>Dashboard!$A$17</c:f>
              <c:strCache>
                <c:ptCount val="1"/>
                <c:pt idx="0">
                  <c:v>2024-02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Dashboard!$B$17:$C$17</c:f>
              <c:numCache>
                <c:formatCode>General</c:formatCode>
                <c:ptCount val="2"/>
                <c:pt idx="0">
                  <c:v>10485002.529999999</c:v>
                </c:pt>
                <c:pt idx="1">
                  <c:v>1578346.02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6F-491B-86AF-31676FD2B55F}"/>
            </c:ext>
          </c:extLst>
        </c:ser>
        <c:ser>
          <c:idx val="2"/>
          <c:order val="2"/>
          <c:tx>
            <c:strRef>
              <c:f>Dashboard!$A$18</c:f>
              <c:strCache>
                <c:ptCount val="1"/>
                <c:pt idx="0">
                  <c:v>2024-03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Dashboard!$B$18:$C$18</c:f>
              <c:numCache>
                <c:formatCode>General</c:formatCode>
                <c:ptCount val="2"/>
                <c:pt idx="0">
                  <c:v>9090912.3000000007</c:v>
                </c:pt>
                <c:pt idx="1">
                  <c:v>1336404.73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6F-491B-86AF-31676FD2B55F}"/>
            </c:ext>
          </c:extLst>
        </c:ser>
        <c:ser>
          <c:idx val="3"/>
          <c:order val="3"/>
          <c:tx>
            <c:strRef>
              <c:f>Dashboard!$A$19</c:f>
              <c:strCache>
                <c:ptCount val="1"/>
                <c:pt idx="0">
                  <c:v>2024-04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Dashboard!$B$19:$C$19</c:f>
              <c:numCache>
                <c:formatCode>General</c:formatCode>
                <c:ptCount val="2"/>
                <c:pt idx="0">
                  <c:v>8012252.1600000001</c:v>
                </c:pt>
                <c:pt idx="1">
                  <c:v>1121281.6499999999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6F-491B-86AF-31676FD2B55F}"/>
            </c:ext>
          </c:extLst>
        </c:ser>
        <c:ser>
          <c:idx val="4"/>
          <c:order val="4"/>
          <c:tx>
            <c:strRef>
              <c:f>Dashboard!$A$20</c:f>
              <c:strCache>
                <c:ptCount val="1"/>
                <c:pt idx="0">
                  <c:v>2024-05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Dashboard!$B$20:$C$20</c:f>
              <c:numCache>
                <c:formatCode>General</c:formatCode>
                <c:ptCount val="2"/>
                <c:pt idx="0">
                  <c:v>7461014.3499999996</c:v>
                </c:pt>
                <c:pt idx="1">
                  <c:v>1131775.01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6F-491B-86AF-31676FD2B55F}"/>
            </c:ext>
          </c:extLst>
        </c:ser>
        <c:ser>
          <c:idx val="5"/>
          <c:order val="5"/>
          <c:tx>
            <c:strRef>
              <c:f>Dashboard!$A$21</c:f>
              <c:strCache>
                <c:ptCount val="1"/>
                <c:pt idx="0">
                  <c:v>2024-06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Dashboard!$B$21:$C$21</c:f>
              <c:numCache>
                <c:formatCode>General</c:formatCode>
                <c:ptCount val="2"/>
                <c:pt idx="0">
                  <c:v>9584609.5500000007</c:v>
                </c:pt>
                <c:pt idx="1">
                  <c:v>1519672.3200000001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6F-491B-86AF-31676FD2B55F}"/>
            </c:ext>
          </c:extLst>
        </c:ser>
        <c:ser>
          <c:idx val="6"/>
          <c:order val="6"/>
          <c:tx>
            <c:strRef>
              <c:f>Dashboard!$A$22</c:f>
              <c:strCache>
                <c:ptCount val="1"/>
                <c:pt idx="0">
                  <c:v>2024-07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Dashboard!$B$22:$C$22</c:f>
              <c:numCache>
                <c:formatCode>General</c:formatCode>
                <c:ptCount val="2"/>
                <c:pt idx="0">
                  <c:v>7426785.6900000004</c:v>
                </c:pt>
                <c:pt idx="1">
                  <c:v>1129891.45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6F-491B-86AF-31676FD2B55F}"/>
            </c:ext>
          </c:extLst>
        </c:ser>
        <c:ser>
          <c:idx val="7"/>
          <c:order val="7"/>
          <c:tx>
            <c:strRef>
              <c:f>Dashboard!$A$23</c:f>
              <c:strCache>
                <c:ptCount val="1"/>
                <c:pt idx="0">
                  <c:v>2024-08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Dashboard!$B$23:$C$23</c:f>
              <c:numCache>
                <c:formatCode>General</c:formatCode>
                <c:ptCount val="2"/>
                <c:pt idx="0">
                  <c:v>6303794.6900000004</c:v>
                </c:pt>
                <c:pt idx="1">
                  <c:v>885649.73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6F-491B-86AF-31676FD2B55F}"/>
            </c:ext>
          </c:extLst>
        </c:ser>
        <c:ser>
          <c:idx val="8"/>
          <c:order val="8"/>
          <c:tx>
            <c:strRef>
              <c:f>Dashboard!$A$24</c:f>
              <c:strCache>
                <c:ptCount val="1"/>
                <c:pt idx="0">
                  <c:v>2024-09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Dashboard!$B$24:$C$24</c:f>
              <c:numCache>
                <c:formatCode>General</c:formatCode>
                <c:ptCount val="2"/>
                <c:pt idx="0">
                  <c:v>10485601.59</c:v>
                </c:pt>
                <c:pt idx="1">
                  <c:v>1694121.6199999999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6F-491B-86AF-31676FD2B55F}"/>
            </c:ext>
          </c:extLst>
        </c:ser>
        <c:ser>
          <c:idx val="9"/>
          <c:order val="9"/>
          <c:tx>
            <c:strRef>
              <c:f>Dashboard!$A$25</c:f>
              <c:strCache>
                <c:ptCount val="1"/>
                <c:pt idx="0">
                  <c:v>2024-10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Dashboard!$B$25:$C$25</c:f>
              <c:numCache>
                <c:formatCode>General</c:formatCode>
                <c:ptCount val="2"/>
                <c:pt idx="0">
                  <c:v>9734974.620000001</c:v>
                </c:pt>
                <c:pt idx="1">
                  <c:v>1601727.92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6F-491B-86AF-31676FD2B55F}"/>
            </c:ext>
          </c:extLst>
        </c:ser>
        <c:ser>
          <c:idx val="10"/>
          <c:order val="10"/>
          <c:tx>
            <c:strRef>
              <c:f>Dashboard!$A$26</c:f>
              <c:strCache>
                <c:ptCount val="1"/>
                <c:pt idx="0">
                  <c:v>2024-11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Dashboard!$B$26:$C$26</c:f>
              <c:numCache>
                <c:formatCode>General</c:formatCode>
                <c:ptCount val="2"/>
                <c:pt idx="0">
                  <c:v>9253957.7599999998</c:v>
                </c:pt>
                <c:pt idx="1">
                  <c:v>1442565.68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6F-491B-86AF-31676FD2B55F}"/>
            </c:ext>
          </c:extLst>
        </c:ser>
        <c:ser>
          <c:idx val="11"/>
          <c:order val="11"/>
          <c:tx>
            <c:strRef>
              <c:f>Dashboard!$A$27</c:f>
              <c:strCache>
                <c:ptCount val="1"/>
                <c:pt idx="0">
                  <c:v>2024-12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Dashboard!$B$27:$C$27</c:f>
              <c:numCache>
                <c:formatCode>General</c:formatCode>
                <c:ptCount val="2"/>
                <c:pt idx="0">
                  <c:v>8955562.9900000002</c:v>
                </c:pt>
                <c:pt idx="1">
                  <c:v>1568339.8499999999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C6F-491B-86AF-31676FD2B55F}"/>
            </c:ext>
          </c:extLst>
        </c:ser>
        <c:ser>
          <c:idx val="12"/>
          <c:order val="12"/>
          <c:tx>
            <c:strRef>
              <c:f>Dashboard!$A$28</c:f>
              <c:strCache>
                <c:ptCount val="1"/>
                <c:pt idx="0">
                  <c:v>2025-01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Dashboard!$B$28:$C$28</c:f>
              <c:numCache>
                <c:formatCode>General</c:formatCode>
                <c:ptCount val="2"/>
                <c:pt idx="0">
                  <c:v>8455144.2100000009</c:v>
                </c:pt>
                <c:pt idx="1">
                  <c:v>1192204.42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6F-491B-86AF-31676FD2B55F}"/>
            </c:ext>
          </c:extLst>
        </c:ser>
        <c:ser>
          <c:idx val="13"/>
          <c:order val="13"/>
          <c:tx>
            <c:strRef>
              <c:f>Dashboard!$A$29</c:f>
              <c:strCache>
                <c:ptCount val="1"/>
                <c:pt idx="0">
                  <c:v>2025-02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Dashboard!$B$29:$C$29</c:f>
              <c:numCache>
                <c:formatCode>General</c:formatCode>
                <c:ptCount val="2"/>
                <c:pt idx="0">
                  <c:v>9853768.0999999996</c:v>
                </c:pt>
                <c:pt idx="1">
                  <c:v>1486798.74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C6F-491B-86AF-31676FD2B55F}"/>
            </c:ext>
          </c:extLst>
        </c:ser>
        <c:ser>
          <c:idx val="14"/>
          <c:order val="14"/>
          <c:tx>
            <c:strRef>
              <c:f>Dashboard!$A$30</c:f>
              <c:strCache>
                <c:ptCount val="1"/>
                <c:pt idx="0">
                  <c:v>2025-03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Dashboard!$B$30:$C$30</c:f>
              <c:numCache>
                <c:formatCode>General</c:formatCode>
                <c:ptCount val="2"/>
                <c:pt idx="0">
                  <c:v>10215892.59</c:v>
                </c:pt>
                <c:pt idx="1">
                  <c:v>1503077.39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6F-491B-86AF-31676FD2B55F}"/>
            </c:ext>
          </c:extLst>
        </c:ser>
        <c:ser>
          <c:idx val="15"/>
          <c:order val="15"/>
          <c:tx>
            <c:strRef>
              <c:f>Dashboard!$A$31</c:f>
              <c:strCache>
                <c:ptCount val="1"/>
                <c:pt idx="0">
                  <c:v>2025-04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Dashboard!$B$31:$C$31</c:f>
              <c:numCache>
                <c:formatCode>General</c:formatCode>
                <c:ptCount val="2"/>
                <c:pt idx="0">
                  <c:v>7193555.5200000005</c:v>
                </c:pt>
                <c:pt idx="1">
                  <c:v>894233.59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C6F-491B-86AF-31676FD2B55F}"/>
            </c:ext>
          </c:extLst>
        </c:ser>
        <c:ser>
          <c:idx val="16"/>
          <c:order val="16"/>
          <c:tx>
            <c:strRef>
              <c:f>Dashboard!$A$32</c:f>
              <c:strCache>
                <c:ptCount val="1"/>
                <c:pt idx="0">
                  <c:v>2025-05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Dashboard!$B$32:$C$32</c:f>
              <c:numCache>
                <c:formatCode>General</c:formatCode>
                <c:ptCount val="2"/>
                <c:pt idx="0">
                  <c:v>8835463.7799999993</c:v>
                </c:pt>
                <c:pt idx="1">
                  <c:v>1311412.29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C6F-491B-86AF-31676FD2B55F}"/>
            </c:ext>
          </c:extLst>
        </c:ser>
        <c:ser>
          <c:idx val="17"/>
          <c:order val="17"/>
          <c:tx>
            <c:strRef>
              <c:f>Dashboard!$A$33</c:f>
              <c:strCache>
                <c:ptCount val="1"/>
                <c:pt idx="0">
                  <c:v>2025-06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Dashboard!$B$33:$C$33</c:f>
              <c:numCache>
                <c:formatCode>General</c:formatCode>
                <c:ptCount val="2"/>
                <c:pt idx="0">
                  <c:v>7257588.1799999997</c:v>
                </c:pt>
                <c:pt idx="1">
                  <c:v>1168737.22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C6F-491B-86AF-31676FD2B55F}"/>
            </c:ext>
          </c:extLst>
        </c:ser>
        <c:ser>
          <c:idx val="18"/>
          <c:order val="18"/>
          <c:tx>
            <c:strRef>
              <c:f>Dashboard!$A$34</c:f>
              <c:strCache>
                <c:ptCount val="1"/>
                <c:pt idx="0">
                  <c:v>2025-07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Dashboard!$B$34:$C$34</c:f>
              <c:numCache>
                <c:formatCode>General</c:formatCode>
                <c:ptCount val="2"/>
                <c:pt idx="0">
                  <c:v>10661968.18</c:v>
                </c:pt>
                <c:pt idx="1">
                  <c:v>1831220.41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C6F-491B-86AF-31676FD2B55F}"/>
            </c:ext>
          </c:extLst>
        </c:ser>
        <c:ser>
          <c:idx val="19"/>
          <c:order val="19"/>
          <c:tx>
            <c:strRef>
              <c:f>Dashboard!$A$35</c:f>
              <c:strCache>
                <c:ptCount val="1"/>
                <c:pt idx="0">
                  <c:v>2025-08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Dashboard!$B$35:$C$35</c:f>
              <c:numCache>
                <c:formatCode>General</c:formatCode>
                <c:ptCount val="2"/>
                <c:pt idx="0">
                  <c:v>10861499.92</c:v>
                </c:pt>
                <c:pt idx="1">
                  <c:v>1735384.8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C6F-491B-86AF-31676FD2B55F}"/>
            </c:ext>
          </c:extLst>
        </c:ser>
        <c:ser>
          <c:idx val="20"/>
          <c:order val="20"/>
          <c:tx>
            <c:strRef>
              <c:f>Dashboard!$A$36</c:f>
              <c:strCache>
                <c:ptCount val="1"/>
                <c:pt idx="0">
                  <c:v>2025-09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Dashboard!$B$36:$C$36</c:f>
              <c:numCache>
                <c:formatCode>General</c:formatCode>
                <c:ptCount val="2"/>
                <c:pt idx="0">
                  <c:v>8033155.9699999997</c:v>
                </c:pt>
                <c:pt idx="1">
                  <c:v>1184389.44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C6F-491B-86AF-31676FD2B55F}"/>
            </c:ext>
          </c:extLst>
        </c:ser>
        <c:ser>
          <c:idx val="21"/>
          <c:order val="21"/>
          <c:tx>
            <c:strRef>
              <c:f>Dashboard!$A$37</c:f>
              <c:strCache>
                <c:ptCount val="1"/>
                <c:pt idx="0">
                  <c:v>2025-10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Dashboard!$B$37:$C$37</c:f>
              <c:numCache>
                <c:formatCode>General</c:formatCode>
                <c:ptCount val="2"/>
                <c:pt idx="0">
                  <c:v>10109298.77</c:v>
                </c:pt>
                <c:pt idx="1">
                  <c:v>1519629.18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C6F-491B-86AF-31676FD2B55F}"/>
            </c:ext>
          </c:extLst>
        </c:ser>
        <c:ser>
          <c:idx val="22"/>
          <c:order val="22"/>
          <c:tx>
            <c:strRef>
              <c:f>Dashboard!$A$38</c:f>
              <c:strCache>
                <c:ptCount val="1"/>
                <c:pt idx="0">
                  <c:v>2025-11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Dashboard!$B$38:$C$38</c:f>
              <c:numCache>
                <c:formatCode>General</c:formatCode>
                <c:ptCount val="2"/>
                <c:pt idx="0">
                  <c:v>10203938.540000001</c:v>
                </c:pt>
                <c:pt idx="1">
                  <c:v>1608714.65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C6F-491B-86AF-31676FD2B55F}"/>
            </c:ext>
          </c:extLst>
        </c:ser>
        <c:ser>
          <c:idx val="23"/>
          <c:order val="23"/>
          <c:tx>
            <c:strRef>
              <c:f>Dashboard!$A$39</c:f>
              <c:strCache>
                <c:ptCount val="1"/>
                <c:pt idx="0">
                  <c:v>2025-12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Dashboard!$B$15:$C$15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Dashboard!$B$39:$C$39</c:f>
              <c:numCache>
                <c:formatCode>General</c:formatCode>
                <c:ptCount val="2"/>
                <c:pt idx="0">
                  <c:v>9095351.7599999998</c:v>
                </c:pt>
                <c:pt idx="1">
                  <c:v>1397756.65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C6F-491B-86AF-31676FD2B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610303"/>
        <c:axId val="1470613183"/>
      </c:lineChart>
      <c:catAx>
        <c:axId val="147061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613183"/>
        <c:crosses val="autoZero"/>
        <c:auto val="1"/>
        <c:lblAlgn val="ctr"/>
        <c:lblOffset val="100"/>
        <c:noMultiLvlLbl val="0"/>
      </c:catAx>
      <c:valAx>
        <c:axId val="147061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61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and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Dashboard!$F$16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Dashboard!$G$15:$I$15</c:f>
              <c:strCache>
                <c:ptCount val="3"/>
                <c:pt idx="0">
                  <c:v>sales</c:v>
                </c:pt>
                <c:pt idx="1">
                  <c:v>profit</c:v>
                </c:pt>
                <c:pt idx="2">
                  <c:v>profit_margin</c:v>
                </c:pt>
              </c:strCache>
            </c:strRef>
          </c:cat>
          <c:val>
            <c:numRef>
              <c:f>Dashboard!$G$16:$I$16</c:f>
              <c:numCache>
                <c:formatCode>General</c:formatCode>
                <c:ptCount val="3"/>
                <c:pt idx="0">
                  <c:v>153895267.88999999</c:v>
                </c:pt>
                <c:pt idx="1">
                  <c:v>28043309.91</c:v>
                </c:pt>
                <c:pt idx="2">
                  <c:v>0.18222334120139788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C-40B6-A4A0-4CBD82E40402}"/>
            </c:ext>
          </c:extLst>
        </c:ser>
        <c:ser>
          <c:idx val="1"/>
          <c:order val="1"/>
          <c:tx>
            <c:strRef>
              <c:f>Dashboard!$F$17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Dashboard!$G$15:$I$15</c:f>
              <c:strCache>
                <c:ptCount val="3"/>
                <c:pt idx="0">
                  <c:v>sales</c:v>
                </c:pt>
                <c:pt idx="1">
                  <c:v>profit</c:v>
                </c:pt>
                <c:pt idx="2">
                  <c:v>profit_margin</c:v>
                </c:pt>
              </c:strCache>
            </c:strRef>
          </c:cat>
          <c:val>
            <c:numRef>
              <c:f>Dashboard!$G$17:$I$17</c:f>
              <c:numCache>
                <c:formatCode>General</c:formatCode>
                <c:ptCount val="3"/>
                <c:pt idx="0">
                  <c:v>51641015.609999999</c:v>
                </c:pt>
                <c:pt idx="1">
                  <c:v>3557835.43</c:v>
                </c:pt>
                <c:pt idx="2">
                  <c:v>6.8895535612027062E-2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C-40B6-A4A0-4CBD82E40402}"/>
            </c:ext>
          </c:extLst>
        </c:ser>
        <c:ser>
          <c:idx val="2"/>
          <c:order val="2"/>
          <c:tx>
            <c:strRef>
              <c:f>Dashboard!$F$18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Dashboard!$G$15:$I$15</c:f>
              <c:strCache>
                <c:ptCount val="3"/>
                <c:pt idx="0">
                  <c:v>sales</c:v>
                </c:pt>
                <c:pt idx="1">
                  <c:v>profit</c:v>
                </c:pt>
                <c:pt idx="2">
                  <c:v>profit_margin</c:v>
                </c:pt>
              </c:strCache>
            </c:strRef>
          </c:cat>
          <c:val>
            <c:numRef>
              <c:f>Dashboard!$G$18:$I$18</c:f>
              <c:numCache>
                <c:formatCode>General</c:formatCode>
                <c:ptCount val="3"/>
                <c:pt idx="0">
                  <c:v>11481368.42</c:v>
                </c:pt>
                <c:pt idx="1">
                  <c:v>1705167.5</c:v>
                </c:pt>
                <c:pt idx="2">
                  <c:v>0.14851605119035105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BC-40B6-A4A0-4CBD82E40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2311295"/>
        <c:axId val="1470619903"/>
      </c:barChart>
      <c:catAx>
        <c:axId val="137231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619903"/>
        <c:crosses val="autoZero"/>
        <c:auto val="1"/>
        <c:lblAlgn val="ctr"/>
        <c:lblOffset val="100"/>
        <c:noMultiLvlLbl val="0"/>
      </c:catAx>
      <c:valAx>
        <c:axId val="14706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1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330200</xdr:colOff>
      <xdr:row>2</xdr:row>
      <xdr:rowOff>114300</xdr:rowOff>
    </xdr:from>
    <xdr:to>
      <xdr:col>24</xdr:col>
      <xdr:colOff>228600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CCDC7-FC0A-A2E1-DC30-DFCBAD31B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330200</xdr:colOff>
      <xdr:row>21</xdr:row>
      <xdr:rowOff>114300</xdr:rowOff>
    </xdr:from>
    <xdr:to>
      <xdr:col>24</xdr:col>
      <xdr:colOff>228600</xdr:colOff>
      <xdr:row>38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AD7834-EB22-FE80-1057-F095BA9B4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0FBA-0B1E-4EEC-908C-BF4DD8D1481A}">
  <dimension ref="A1:K1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5703125" bestFit="1" customWidth="1"/>
    <col min="2" max="2" width="15" bestFit="1" customWidth="1"/>
    <col min="3" max="3" width="9" bestFit="1" customWidth="1"/>
    <col min="4" max="4" width="12" bestFit="1" customWidth="1"/>
    <col min="5" max="5" width="11" bestFit="1" customWidth="1"/>
    <col min="6" max="6" width="10.7109375" bestFit="1" customWidth="1"/>
    <col min="7" max="7" width="9.7109375" bestFit="1" customWidth="1"/>
    <col min="8" max="8" width="19.85546875" bestFit="1" customWidth="1"/>
    <col min="9" max="9" width="12.42578125" bestFit="1" customWidth="1"/>
    <col min="10" max="10" width="15.5703125" bestFit="1" customWidth="1"/>
    <col min="11" max="11" width="13.42578125" bestFit="1" customWidth="1"/>
  </cols>
  <sheetData>
    <row r="1" spans="1:11" x14ac:dyDescent="0.25">
      <c r="A1" s="4" t="s">
        <v>40</v>
      </c>
      <c r="B1" s="4" t="s">
        <v>71</v>
      </c>
      <c r="C1" s="4" t="s">
        <v>51</v>
      </c>
      <c r="D1" s="4" t="s">
        <v>14</v>
      </c>
      <c r="E1" s="4" t="s">
        <v>15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41</v>
      </c>
      <c r="K1" s="4" t="s">
        <v>46</v>
      </c>
    </row>
    <row r="2" spans="1:11" x14ac:dyDescent="0.25">
      <c r="A2" s="5" t="s">
        <v>44</v>
      </c>
      <c r="B2" s="5" t="s">
        <v>82</v>
      </c>
      <c r="C2" s="5">
        <v>311</v>
      </c>
      <c r="D2" s="5">
        <v>2128252.66</v>
      </c>
      <c r="E2" s="5">
        <v>318706.90000000002</v>
      </c>
      <c r="F2" s="5">
        <v>1734</v>
      </c>
      <c r="G2" s="5">
        <v>12</v>
      </c>
      <c r="H2" s="5">
        <v>3.4083601286173635</v>
      </c>
      <c r="I2" s="5">
        <v>4.0251612903225809</v>
      </c>
      <c r="J2" s="5">
        <v>0.14975050001816984</v>
      </c>
      <c r="K2" s="5">
        <v>3.8585209003215437E-2</v>
      </c>
    </row>
    <row r="3" spans="1:11" x14ac:dyDescent="0.25">
      <c r="A3" s="5" t="s">
        <v>44</v>
      </c>
      <c r="B3" s="5" t="s">
        <v>83</v>
      </c>
      <c r="C3" s="5">
        <v>338</v>
      </c>
      <c r="D3" s="5">
        <v>2201127.75</v>
      </c>
      <c r="E3" s="5">
        <v>325668.13</v>
      </c>
      <c r="F3" s="5">
        <v>1824</v>
      </c>
      <c r="G3" s="5">
        <v>11</v>
      </c>
      <c r="H3" s="5">
        <v>3.5798816568047336</v>
      </c>
      <c r="I3" s="5">
        <v>4.1127596439169141</v>
      </c>
      <c r="J3" s="5">
        <v>0.14795512436749753</v>
      </c>
      <c r="K3" s="5">
        <v>3.2544378698224852E-2</v>
      </c>
    </row>
    <row r="4" spans="1:11" x14ac:dyDescent="0.25">
      <c r="A4" s="5" t="s">
        <v>44</v>
      </c>
      <c r="B4" s="5" t="s">
        <v>84</v>
      </c>
      <c r="C4" s="5">
        <v>345</v>
      </c>
      <c r="D4" s="5">
        <v>2406014.89</v>
      </c>
      <c r="E4" s="5">
        <v>342231.21</v>
      </c>
      <c r="F4" s="5">
        <v>1862</v>
      </c>
      <c r="G4" s="5">
        <v>14</v>
      </c>
      <c r="H4" s="5">
        <v>3.6115942028985506</v>
      </c>
      <c r="I4" s="5">
        <v>4.0549707602339176</v>
      </c>
      <c r="J4" s="5">
        <v>0.14223985538177614</v>
      </c>
      <c r="K4" s="5">
        <v>4.0579710144927533E-2</v>
      </c>
    </row>
    <row r="5" spans="1:11" x14ac:dyDescent="0.25">
      <c r="A5" s="5" t="s">
        <v>44</v>
      </c>
      <c r="B5" s="5" t="s">
        <v>81</v>
      </c>
      <c r="C5" s="5">
        <v>328</v>
      </c>
      <c r="D5" s="5">
        <v>2261841.0299999998</v>
      </c>
      <c r="E5" s="5">
        <v>350434.07</v>
      </c>
      <c r="F5" s="5">
        <v>1771</v>
      </c>
      <c r="G5" s="5">
        <v>10</v>
      </c>
      <c r="H5" s="5">
        <v>3.6189024390243905</v>
      </c>
      <c r="I5" s="5">
        <v>4.0894736842105264</v>
      </c>
      <c r="J5" s="5">
        <v>0.15493311216482797</v>
      </c>
      <c r="K5" s="5">
        <v>3.048780487804878E-2</v>
      </c>
    </row>
    <row r="6" spans="1:11" x14ac:dyDescent="0.25">
      <c r="A6" s="5" t="s">
        <v>44</v>
      </c>
      <c r="B6" s="5" t="s">
        <v>80</v>
      </c>
      <c r="C6" s="5">
        <v>347</v>
      </c>
      <c r="D6" s="5">
        <v>2484132.09</v>
      </c>
      <c r="E6" s="5">
        <v>368127.19</v>
      </c>
      <c r="F6" s="5">
        <v>1977</v>
      </c>
      <c r="G6" s="5">
        <v>14</v>
      </c>
      <c r="H6" s="5">
        <v>3.6080691642651295</v>
      </c>
      <c r="I6" s="5">
        <v>4.0715942028985506</v>
      </c>
      <c r="J6" s="5">
        <v>0.1481914715734782</v>
      </c>
      <c r="K6" s="5">
        <v>4.0345821325648415E-2</v>
      </c>
    </row>
    <row r="7" spans="1:11" x14ac:dyDescent="0.25">
      <c r="A7" s="5" t="s">
        <v>43</v>
      </c>
      <c r="B7" s="5" t="s">
        <v>79</v>
      </c>
      <c r="C7" s="5">
        <v>285</v>
      </c>
      <c r="D7" s="5">
        <v>12468764.34</v>
      </c>
      <c r="E7" s="5">
        <v>711733.14</v>
      </c>
      <c r="F7" s="5">
        <v>1579</v>
      </c>
      <c r="G7" s="5">
        <v>24</v>
      </c>
      <c r="H7" s="5">
        <v>3.6140350877192984</v>
      </c>
      <c r="I7" s="5">
        <v>4.0329787234042556</v>
      </c>
      <c r="J7" s="5">
        <v>5.7081288938692062E-2</v>
      </c>
      <c r="K7" s="5">
        <v>8.4210526315789472E-2</v>
      </c>
    </row>
    <row r="8" spans="1:11" x14ac:dyDescent="0.25">
      <c r="A8" s="5" t="s">
        <v>43</v>
      </c>
      <c r="B8" s="5" t="s">
        <v>78</v>
      </c>
      <c r="C8" s="5">
        <v>292</v>
      </c>
      <c r="D8" s="5">
        <v>12895344.630000001</v>
      </c>
      <c r="E8" s="5">
        <v>731533.65</v>
      </c>
      <c r="F8" s="5">
        <v>1595</v>
      </c>
      <c r="G8" s="5">
        <v>18</v>
      </c>
      <c r="H8" s="5">
        <v>3.5616438356164384</v>
      </c>
      <c r="I8" s="5">
        <v>4.0491349480968859</v>
      </c>
      <c r="J8" s="5">
        <v>5.6728507146536024E-2</v>
      </c>
      <c r="K8" s="5">
        <v>6.1643835616438353E-2</v>
      </c>
    </row>
    <row r="9" spans="1:11" x14ac:dyDescent="0.25">
      <c r="A9" s="5" t="s">
        <v>43</v>
      </c>
      <c r="B9" s="5" t="s">
        <v>77</v>
      </c>
      <c r="C9" s="5">
        <v>282</v>
      </c>
      <c r="D9" s="5">
        <v>13438147.51</v>
      </c>
      <c r="E9" s="5">
        <v>1055994.2</v>
      </c>
      <c r="F9" s="5">
        <v>1665</v>
      </c>
      <c r="G9" s="5">
        <v>23</v>
      </c>
      <c r="H9" s="5">
        <v>3.6702127659574466</v>
      </c>
      <c r="I9" s="5">
        <v>3.9791366906474823</v>
      </c>
      <c r="J9" s="5">
        <v>7.8581828277609081E-2</v>
      </c>
      <c r="K9" s="5">
        <v>8.1560283687943269E-2</v>
      </c>
    </row>
    <row r="10" spans="1:11" x14ac:dyDescent="0.25">
      <c r="A10" s="5" t="s">
        <v>43</v>
      </c>
      <c r="B10" s="5" t="s">
        <v>76</v>
      </c>
      <c r="C10" s="5">
        <v>288</v>
      </c>
      <c r="D10" s="5">
        <v>12838759.130000001</v>
      </c>
      <c r="E10" s="5">
        <v>1058574.44</v>
      </c>
      <c r="F10" s="5">
        <v>1583</v>
      </c>
      <c r="G10" s="5">
        <v>23</v>
      </c>
      <c r="H10" s="5">
        <v>3.9097222222222223</v>
      </c>
      <c r="I10" s="5">
        <v>4.0482517482517482</v>
      </c>
      <c r="J10" s="5">
        <v>8.2451460400597129E-2</v>
      </c>
      <c r="K10" s="5">
        <v>7.9861111111111105E-2</v>
      </c>
    </row>
    <row r="11" spans="1:11" x14ac:dyDescent="0.25">
      <c r="A11" s="5" t="s">
        <v>42</v>
      </c>
      <c r="B11" s="5" t="s">
        <v>75</v>
      </c>
      <c r="C11" s="5">
        <v>318</v>
      </c>
      <c r="D11" s="5">
        <v>35690508.119999997</v>
      </c>
      <c r="E11" s="5">
        <v>6449101.21</v>
      </c>
      <c r="F11" s="5">
        <v>1738</v>
      </c>
      <c r="G11" s="5">
        <v>11</v>
      </c>
      <c r="H11" s="5">
        <v>3.4748427672955975</v>
      </c>
      <c r="I11" s="5">
        <v>4.1094936708860761</v>
      </c>
      <c r="J11" s="5">
        <v>0.18069513575756849</v>
      </c>
      <c r="K11" s="5">
        <v>3.4591194968553458E-2</v>
      </c>
    </row>
  </sheetData>
  <autoFilter ref="A1:K1" xr:uid="{DC8B0FBA-0B1E-4EEC-908C-BF4DD8D148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6C0E-B8F5-4243-A623-64F7D9843AC4}">
  <dimension ref="A1:K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5703125" bestFit="1" customWidth="1"/>
    <col min="2" max="2" width="15" bestFit="1" customWidth="1"/>
    <col min="3" max="3" width="9" bestFit="1" customWidth="1"/>
    <col min="4" max="4" width="12" bestFit="1" customWidth="1"/>
    <col min="5" max="5" width="11" bestFit="1" customWidth="1"/>
    <col min="6" max="6" width="10.7109375" bestFit="1" customWidth="1"/>
    <col min="7" max="7" width="9.7109375" bestFit="1" customWidth="1"/>
    <col min="8" max="8" width="19.85546875" bestFit="1" customWidth="1"/>
    <col min="9" max="9" width="12.42578125" bestFit="1" customWidth="1"/>
    <col min="10" max="10" width="15.5703125" bestFit="1" customWidth="1"/>
    <col min="11" max="11" width="13.42578125" bestFit="1" customWidth="1"/>
  </cols>
  <sheetData>
    <row r="1" spans="1:11" x14ac:dyDescent="0.25">
      <c r="A1" s="4" t="s">
        <v>40</v>
      </c>
      <c r="B1" s="4" t="s">
        <v>71</v>
      </c>
      <c r="C1" s="4" t="s">
        <v>51</v>
      </c>
      <c r="D1" s="4" t="s">
        <v>14</v>
      </c>
      <c r="E1" s="4" t="s">
        <v>15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41</v>
      </c>
      <c r="K1" s="4" t="s">
        <v>46</v>
      </c>
    </row>
    <row r="2" spans="1:11" x14ac:dyDescent="0.25">
      <c r="A2" s="5" t="s">
        <v>42</v>
      </c>
      <c r="B2" s="5" t="s">
        <v>72</v>
      </c>
      <c r="C2" s="5">
        <v>368</v>
      </c>
      <c r="D2" s="5">
        <v>40612514.710000001</v>
      </c>
      <c r="E2" s="5">
        <v>7310055.1100000003</v>
      </c>
      <c r="F2" s="5">
        <v>1929</v>
      </c>
      <c r="G2" s="5">
        <v>10</v>
      </c>
      <c r="H2" s="5">
        <v>3.6657608695652173</v>
      </c>
      <c r="I2" s="5">
        <v>4.0765667574931879</v>
      </c>
      <c r="J2" s="5">
        <v>0.1799951360362339</v>
      </c>
      <c r="K2" s="5">
        <v>2.717391304347826E-2</v>
      </c>
    </row>
    <row r="3" spans="1:11" x14ac:dyDescent="0.25">
      <c r="A3" s="5" t="s">
        <v>42</v>
      </c>
      <c r="B3" s="5" t="s">
        <v>73</v>
      </c>
      <c r="C3" s="5">
        <v>366</v>
      </c>
      <c r="D3" s="5">
        <v>39198321.229999997</v>
      </c>
      <c r="E3" s="5">
        <v>7186862.7000000002</v>
      </c>
      <c r="F3" s="5">
        <v>2036</v>
      </c>
      <c r="G3" s="5">
        <v>11</v>
      </c>
      <c r="H3" s="5">
        <v>3.5163934426229506</v>
      </c>
      <c r="I3" s="5">
        <v>4.0548209366391186</v>
      </c>
      <c r="J3" s="5">
        <v>0.18334618612441023</v>
      </c>
      <c r="K3" s="5">
        <v>3.0054644808743168E-2</v>
      </c>
    </row>
    <row r="4" spans="1:11" x14ac:dyDescent="0.25">
      <c r="A4" s="5" t="s">
        <v>42</v>
      </c>
      <c r="B4" s="5" t="s">
        <v>74</v>
      </c>
      <c r="C4" s="5">
        <v>332</v>
      </c>
      <c r="D4" s="5">
        <v>38393923.829999998</v>
      </c>
      <c r="E4" s="5">
        <v>7097290.8899999997</v>
      </c>
      <c r="F4" s="5">
        <v>1819</v>
      </c>
      <c r="G4" s="5">
        <v>10</v>
      </c>
      <c r="H4" s="5">
        <v>3.5030120481927711</v>
      </c>
      <c r="I4" s="5">
        <v>4.0927272727272728</v>
      </c>
      <c r="J4" s="5">
        <v>0.18485453379095274</v>
      </c>
      <c r="K4" s="5">
        <v>3.0120481927710843E-2</v>
      </c>
    </row>
    <row r="5" spans="1:11" x14ac:dyDescent="0.25">
      <c r="A5" s="5" t="s">
        <v>42</v>
      </c>
      <c r="B5" s="5" t="s">
        <v>75</v>
      </c>
      <c r="C5" s="5">
        <v>318</v>
      </c>
      <c r="D5" s="5">
        <v>35690508.119999997</v>
      </c>
      <c r="E5" s="5">
        <v>6449101.21</v>
      </c>
      <c r="F5" s="5">
        <v>1738</v>
      </c>
      <c r="G5" s="5">
        <v>11</v>
      </c>
      <c r="H5" s="5">
        <v>3.4748427672955975</v>
      </c>
      <c r="I5" s="5">
        <v>4.1094936708860761</v>
      </c>
      <c r="J5" s="5">
        <v>0.18069513575756849</v>
      </c>
      <c r="K5" s="5">
        <v>3.4591194968553458E-2</v>
      </c>
    </row>
    <row r="6" spans="1:11" x14ac:dyDescent="0.25">
      <c r="A6" s="5" t="s">
        <v>43</v>
      </c>
      <c r="B6" s="5" t="s">
        <v>76</v>
      </c>
      <c r="C6" s="5">
        <v>288</v>
      </c>
      <c r="D6" s="5">
        <v>12838759.130000001</v>
      </c>
      <c r="E6" s="5">
        <v>1058574.44</v>
      </c>
      <c r="F6" s="5">
        <v>1583</v>
      </c>
      <c r="G6" s="5">
        <v>23</v>
      </c>
      <c r="H6" s="5">
        <v>3.9097222222222223</v>
      </c>
      <c r="I6" s="5">
        <v>4.0482517482517482</v>
      </c>
      <c r="J6" s="5">
        <v>8.2451460400597129E-2</v>
      </c>
      <c r="K6" s="5">
        <v>7.9861111111111105E-2</v>
      </c>
    </row>
    <row r="7" spans="1:11" x14ac:dyDescent="0.25">
      <c r="A7" s="5" t="s">
        <v>43</v>
      </c>
      <c r="B7" s="5" t="s">
        <v>77</v>
      </c>
      <c r="C7" s="5">
        <v>282</v>
      </c>
      <c r="D7" s="5">
        <v>13438147.51</v>
      </c>
      <c r="E7" s="5">
        <v>1055994.2</v>
      </c>
      <c r="F7" s="5">
        <v>1665</v>
      </c>
      <c r="G7" s="5">
        <v>23</v>
      </c>
      <c r="H7" s="5">
        <v>3.6702127659574466</v>
      </c>
      <c r="I7" s="5">
        <v>3.9791366906474823</v>
      </c>
      <c r="J7" s="5">
        <v>7.8581828277609081E-2</v>
      </c>
      <c r="K7" s="5">
        <v>8.1560283687943269E-2</v>
      </c>
    </row>
    <row r="8" spans="1:11" x14ac:dyDescent="0.25">
      <c r="A8" s="5" t="s">
        <v>43</v>
      </c>
      <c r="B8" s="5" t="s">
        <v>78</v>
      </c>
      <c r="C8" s="5">
        <v>292</v>
      </c>
      <c r="D8" s="5">
        <v>12895344.630000001</v>
      </c>
      <c r="E8" s="5">
        <v>731533.65</v>
      </c>
      <c r="F8" s="5">
        <v>1595</v>
      </c>
      <c r="G8" s="5">
        <v>18</v>
      </c>
      <c r="H8" s="5">
        <v>3.5616438356164384</v>
      </c>
      <c r="I8" s="5">
        <v>4.0491349480968859</v>
      </c>
      <c r="J8" s="5">
        <v>5.6728507146536024E-2</v>
      </c>
      <c r="K8" s="5">
        <v>6.1643835616438353E-2</v>
      </c>
    </row>
    <row r="9" spans="1:11" x14ac:dyDescent="0.25">
      <c r="A9" s="5" t="s">
        <v>43</v>
      </c>
      <c r="B9" s="5" t="s">
        <v>79</v>
      </c>
      <c r="C9" s="5">
        <v>285</v>
      </c>
      <c r="D9" s="5">
        <v>12468764.34</v>
      </c>
      <c r="E9" s="5">
        <v>711733.14</v>
      </c>
      <c r="F9" s="5">
        <v>1579</v>
      </c>
      <c r="G9" s="5">
        <v>24</v>
      </c>
      <c r="H9" s="5">
        <v>3.6140350877192984</v>
      </c>
      <c r="I9" s="5">
        <v>4.0329787234042556</v>
      </c>
      <c r="J9" s="5">
        <v>5.7081288938692062E-2</v>
      </c>
      <c r="K9" s="5">
        <v>8.4210526315789472E-2</v>
      </c>
    </row>
    <row r="10" spans="1:11" x14ac:dyDescent="0.25">
      <c r="A10" s="5" t="s">
        <v>44</v>
      </c>
      <c r="B10" s="5" t="s">
        <v>80</v>
      </c>
      <c r="C10" s="5">
        <v>347</v>
      </c>
      <c r="D10" s="5">
        <v>2484132.09</v>
      </c>
      <c r="E10" s="5">
        <v>368127.19</v>
      </c>
      <c r="F10" s="5">
        <v>1977</v>
      </c>
      <c r="G10" s="5">
        <v>14</v>
      </c>
      <c r="H10" s="5">
        <v>3.6080691642651295</v>
      </c>
      <c r="I10" s="5">
        <v>4.0715942028985506</v>
      </c>
      <c r="J10" s="5">
        <v>0.1481914715734782</v>
      </c>
      <c r="K10" s="5">
        <v>4.0345821325648415E-2</v>
      </c>
    </row>
    <row r="11" spans="1:11" x14ac:dyDescent="0.25">
      <c r="A11" s="5" t="s">
        <v>44</v>
      </c>
      <c r="B11" s="5" t="s">
        <v>81</v>
      </c>
      <c r="C11" s="5">
        <v>328</v>
      </c>
      <c r="D11" s="5">
        <v>2261841.0299999998</v>
      </c>
      <c r="E11" s="5">
        <v>350434.07</v>
      </c>
      <c r="F11" s="5">
        <v>1771</v>
      </c>
      <c r="G11" s="5">
        <v>10</v>
      </c>
      <c r="H11" s="5">
        <v>3.6189024390243905</v>
      </c>
      <c r="I11" s="5">
        <v>4.0894736842105264</v>
      </c>
      <c r="J11" s="5">
        <v>0.15493311216482797</v>
      </c>
      <c r="K11" s="5">
        <v>3.048780487804878E-2</v>
      </c>
    </row>
  </sheetData>
  <autoFilter ref="A1:K1" xr:uid="{98626C0E-B8F5-4243-A623-64F7D9843AC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2592-82D6-4CDC-A2BC-5715CE9338C6}">
  <dimension ref="A1:J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3.85546875" bestFit="1" customWidth="1"/>
    <col min="2" max="2" width="9" bestFit="1" customWidth="1"/>
    <col min="3" max="4" width="12" bestFit="1" customWidth="1"/>
    <col min="5" max="5" width="10.7109375" bestFit="1" customWidth="1"/>
    <col min="6" max="6" width="9.7109375" bestFit="1" customWidth="1"/>
    <col min="7" max="7" width="19.85546875" bestFit="1" customWidth="1"/>
    <col min="8" max="8" width="12.42578125" bestFit="1" customWidth="1"/>
    <col min="9" max="9" width="15.5703125" bestFit="1" customWidth="1"/>
    <col min="10" max="10" width="13.42578125" bestFit="1" customWidth="1"/>
  </cols>
  <sheetData>
    <row r="1" spans="1:10" x14ac:dyDescent="0.25">
      <c r="A1" s="4" t="s">
        <v>66</v>
      </c>
      <c r="B1" s="4" t="s">
        <v>51</v>
      </c>
      <c r="C1" s="4" t="s">
        <v>14</v>
      </c>
      <c r="D1" s="4" t="s">
        <v>15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41</v>
      </c>
      <c r="J1" s="4" t="s">
        <v>46</v>
      </c>
    </row>
    <row r="2" spans="1:10" x14ac:dyDescent="0.25">
      <c r="A2" s="5" t="s">
        <v>67</v>
      </c>
      <c r="B2" s="5">
        <v>2435</v>
      </c>
      <c r="C2" s="5">
        <v>122826411.28</v>
      </c>
      <c r="D2" s="5">
        <v>19088044.07</v>
      </c>
      <c r="E2" s="5">
        <v>13394</v>
      </c>
      <c r="F2" s="5">
        <v>112</v>
      </c>
      <c r="G2" s="5">
        <v>4.7137577002053392</v>
      </c>
      <c r="H2" s="5">
        <v>4.0605371900826448</v>
      </c>
      <c r="I2" s="5">
        <v>0.15540667411088102</v>
      </c>
      <c r="J2" s="5">
        <v>4.5995893223819299E-2</v>
      </c>
    </row>
    <row r="3" spans="1:10" x14ac:dyDescent="0.25">
      <c r="A3" s="5" t="s">
        <v>68</v>
      </c>
      <c r="B3" s="5">
        <v>894</v>
      </c>
      <c r="C3" s="5">
        <v>47679636.299999997</v>
      </c>
      <c r="D3" s="5">
        <v>7385144.6900000004</v>
      </c>
      <c r="E3" s="5">
        <v>4817</v>
      </c>
      <c r="F3" s="5">
        <v>41</v>
      </c>
      <c r="G3" s="5">
        <v>2.6823266219239374</v>
      </c>
      <c r="H3" s="5">
        <v>4.0722033898305083</v>
      </c>
      <c r="I3" s="5">
        <v>0.15489096107052311</v>
      </c>
      <c r="J3" s="5">
        <v>4.5861297539149887E-2</v>
      </c>
    </row>
    <row r="4" spans="1:10" x14ac:dyDescent="0.25">
      <c r="A4" s="5" t="s">
        <v>69</v>
      </c>
      <c r="B4" s="5">
        <v>630</v>
      </c>
      <c r="C4" s="5">
        <v>31948482.66</v>
      </c>
      <c r="D4" s="5">
        <v>4639570.92</v>
      </c>
      <c r="E4" s="5">
        <v>3515</v>
      </c>
      <c r="F4" s="5">
        <v>32</v>
      </c>
      <c r="G4" s="5">
        <v>1.7730158730158729</v>
      </c>
      <c r="H4" s="5">
        <v>4.0569600000000001</v>
      </c>
      <c r="I4" s="5">
        <v>0.14522038399679041</v>
      </c>
      <c r="J4" s="5">
        <v>5.0793650793650794E-2</v>
      </c>
    </row>
    <row r="5" spans="1:10" x14ac:dyDescent="0.25">
      <c r="A5" s="5" t="s">
        <v>70</v>
      </c>
      <c r="B5" s="5">
        <v>241</v>
      </c>
      <c r="C5" s="5">
        <v>14563121.68</v>
      </c>
      <c r="D5" s="5">
        <v>2193553.16</v>
      </c>
      <c r="E5" s="5">
        <v>1386</v>
      </c>
      <c r="F5" s="5">
        <v>6</v>
      </c>
      <c r="G5" s="5">
        <v>0.40248962655601661</v>
      </c>
      <c r="H5" s="5">
        <v>4.0710084033613443</v>
      </c>
      <c r="I5" s="5">
        <v>0.15062382971176275</v>
      </c>
      <c r="J5" s="5">
        <v>2.4896265560165973E-2</v>
      </c>
    </row>
  </sheetData>
  <autoFilter ref="A1:J1" xr:uid="{3A0D2592-82D6-4CDC-A2BC-5715CE9338C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091B-82A4-4FE5-85CC-D7D913C2A7D0}">
  <dimension ref="A1:J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0" bestFit="1" customWidth="1"/>
    <col min="2" max="2" width="9" bestFit="1" customWidth="1"/>
    <col min="3" max="4" width="12" bestFit="1" customWidth="1"/>
    <col min="5" max="5" width="10.7109375" bestFit="1" customWidth="1"/>
    <col min="6" max="6" width="9.7109375" bestFit="1" customWidth="1"/>
    <col min="7" max="7" width="19.85546875" bestFit="1" customWidth="1"/>
    <col min="8" max="8" width="12.42578125" bestFit="1" customWidth="1"/>
    <col min="9" max="9" width="15.5703125" bestFit="1" customWidth="1"/>
    <col min="10" max="10" width="13.42578125" bestFit="1" customWidth="1"/>
  </cols>
  <sheetData>
    <row r="1" spans="1:10" x14ac:dyDescent="0.25">
      <c r="A1" s="4" t="s">
        <v>60</v>
      </c>
      <c r="B1" s="4" t="s">
        <v>51</v>
      </c>
      <c r="C1" s="4" t="s">
        <v>14</v>
      </c>
      <c r="D1" s="4" t="s">
        <v>15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41</v>
      </c>
      <c r="J1" s="4" t="s">
        <v>46</v>
      </c>
    </row>
    <row r="2" spans="1:10" x14ac:dyDescent="0.25">
      <c r="A2" s="5" t="s">
        <v>61</v>
      </c>
      <c r="B2" s="5">
        <v>1694</v>
      </c>
      <c r="C2" s="5">
        <v>88783980.900000006</v>
      </c>
      <c r="D2" s="5">
        <v>13444456.85</v>
      </c>
      <c r="E2" s="5">
        <v>9481</v>
      </c>
      <c r="F2" s="5">
        <v>75</v>
      </c>
      <c r="G2" s="5">
        <v>3.5844155844155843</v>
      </c>
      <c r="H2" s="5">
        <v>4.0494661921708186</v>
      </c>
      <c r="I2" s="5">
        <v>0.15142885815339688</v>
      </c>
      <c r="J2" s="5">
        <v>4.4273907910271547E-2</v>
      </c>
    </row>
    <row r="3" spans="1:10" x14ac:dyDescent="0.25">
      <c r="A3" s="5" t="s">
        <v>62</v>
      </c>
      <c r="B3" s="5">
        <v>849</v>
      </c>
      <c r="C3" s="5">
        <v>40111108.719999999</v>
      </c>
      <c r="D3" s="5">
        <v>6053063.7300000004</v>
      </c>
      <c r="E3" s="5">
        <v>4549</v>
      </c>
      <c r="F3" s="5">
        <v>40</v>
      </c>
      <c r="G3" s="5">
        <v>3.5783274440518258</v>
      </c>
      <c r="H3" s="5">
        <v>4.0900836320191161</v>
      </c>
      <c r="I3" s="5">
        <v>0.15090741500700161</v>
      </c>
      <c r="J3" s="5">
        <v>4.7114252061248529E-2</v>
      </c>
    </row>
    <row r="4" spans="1:10" x14ac:dyDescent="0.25">
      <c r="A4" s="5" t="s">
        <v>63</v>
      </c>
      <c r="B4" s="5">
        <v>657</v>
      </c>
      <c r="C4" s="5">
        <v>34512356.530000001</v>
      </c>
      <c r="D4" s="5">
        <v>5364557.51</v>
      </c>
      <c r="E4" s="5">
        <v>3599</v>
      </c>
      <c r="F4" s="5">
        <v>30</v>
      </c>
      <c r="G4" s="5">
        <v>3.5981735159817352</v>
      </c>
      <c r="H4" s="5">
        <v>4.0603686635944705</v>
      </c>
      <c r="I4" s="5">
        <v>0.15543874859245954</v>
      </c>
      <c r="J4" s="5">
        <v>4.5662100456621002E-2</v>
      </c>
    </row>
    <row r="5" spans="1:10" x14ac:dyDescent="0.25">
      <c r="A5" s="5" t="s">
        <v>64</v>
      </c>
      <c r="B5" s="5">
        <v>584</v>
      </c>
      <c r="C5" s="5">
        <v>31104556.5</v>
      </c>
      <c r="D5" s="5">
        <v>4911552.9000000004</v>
      </c>
      <c r="E5" s="5">
        <v>3164</v>
      </c>
      <c r="F5" s="5">
        <v>23</v>
      </c>
      <c r="G5" s="5">
        <v>3.5462328767123288</v>
      </c>
      <c r="H5" s="5">
        <v>4.0666092943201377</v>
      </c>
      <c r="I5" s="5">
        <v>0.15790461117810828</v>
      </c>
      <c r="J5" s="5">
        <v>3.9383561643835614E-2</v>
      </c>
    </row>
    <row r="6" spans="1:10" x14ac:dyDescent="0.25">
      <c r="A6" s="5" t="s">
        <v>65</v>
      </c>
      <c r="B6" s="5">
        <v>392</v>
      </c>
      <c r="C6" s="5">
        <v>21211566.379999999</v>
      </c>
      <c r="D6" s="5">
        <v>3336084.38</v>
      </c>
      <c r="E6" s="5">
        <v>2160</v>
      </c>
      <c r="F6" s="5">
        <v>22</v>
      </c>
      <c r="G6" s="5">
        <v>3.704081632653061</v>
      </c>
      <c r="H6" s="5">
        <v>4.064781491002571</v>
      </c>
      <c r="I6" s="5">
        <v>0.157276663129675</v>
      </c>
      <c r="J6" s="5">
        <v>5.6122448979591837E-2</v>
      </c>
    </row>
    <row r="7" spans="1:10" x14ac:dyDescent="0.25">
      <c r="A7" s="5"/>
      <c r="B7" s="5">
        <v>24</v>
      </c>
      <c r="C7" s="5">
        <v>1294082.8900000001</v>
      </c>
      <c r="D7" s="5">
        <v>196597.47</v>
      </c>
      <c r="E7" s="5">
        <v>159</v>
      </c>
      <c r="F7" s="5">
        <v>1</v>
      </c>
      <c r="G7" s="5">
        <v>3.875</v>
      </c>
      <c r="H7" s="5">
        <v>4.0374999999999996</v>
      </c>
      <c r="I7" s="5">
        <v>0.15192030705235582</v>
      </c>
      <c r="J7" s="5">
        <v>4.1666666666666664E-2</v>
      </c>
    </row>
  </sheetData>
  <autoFilter ref="A1:J1" xr:uid="{F180091B-82A4-4FE5-85CC-D7D913C2A7D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9E97-7ECE-454C-B30D-DF6ED1191DA3}">
  <dimension ref="A1:J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0.5703125" bestFit="1" customWidth="1"/>
    <col min="2" max="2" width="9" bestFit="1" customWidth="1"/>
    <col min="3" max="4" width="12" bestFit="1" customWidth="1"/>
    <col min="5" max="5" width="10.7109375" bestFit="1" customWidth="1"/>
    <col min="6" max="6" width="9.7109375" bestFit="1" customWidth="1"/>
    <col min="7" max="7" width="19.85546875" bestFit="1" customWidth="1"/>
    <col min="8" max="8" width="12.42578125" bestFit="1" customWidth="1"/>
    <col min="9" max="9" width="15.5703125" bestFit="1" customWidth="1"/>
    <col min="10" max="10" width="13.42578125" bestFit="1" customWidth="1"/>
  </cols>
  <sheetData>
    <row r="1" spans="1:10" x14ac:dyDescent="0.25">
      <c r="A1" s="4" t="s">
        <v>56</v>
      </c>
      <c r="B1" s="4" t="s">
        <v>51</v>
      </c>
      <c r="C1" s="4" t="s">
        <v>14</v>
      </c>
      <c r="D1" s="4" t="s">
        <v>15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41</v>
      </c>
      <c r="J1" s="4" t="s">
        <v>46</v>
      </c>
    </row>
    <row r="2" spans="1:10" x14ac:dyDescent="0.25">
      <c r="A2" s="5" t="s">
        <v>57</v>
      </c>
      <c r="B2" s="5">
        <v>1446</v>
      </c>
      <c r="C2" s="5">
        <v>74500746.010000005</v>
      </c>
      <c r="D2" s="5">
        <v>11555047.08</v>
      </c>
      <c r="E2" s="5">
        <v>7813</v>
      </c>
      <c r="F2" s="5">
        <v>82</v>
      </c>
      <c r="G2" s="5">
        <v>3.6217150760719226</v>
      </c>
      <c r="H2" s="5">
        <v>4.0644150417827296</v>
      </c>
      <c r="I2" s="5">
        <v>0.15509974998705384</v>
      </c>
      <c r="J2" s="5">
        <v>5.6708160442600276E-2</v>
      </c>
    </row>
    <row r="3" spans="1:10" x14ac:dyDescent="0.25">
      <c r="A3" s="5" t="s">
        <v>58</v>
      </c>
      <c r="B3" s="5">
        <v>1355</v>
      </c>
      <c r="C3" s="5">
        <v>71886173.189999998</v>
      </c>
      <c r="D3" s="5">
        <v>11030581.119999999</v>
      </c>
      <c r="E3" s="5">
        <v>7585</v>
      </c>
      <c r="F3" s="5">
        <v>53</v>
      </c>
      <c r="G3" s="5">
        <v>3.569741697416974</v>
      </c>
      <c r="H3" s="5">
        <v>4.0532835820895521</v>
      </c>
      <c r="I3" s="5">
        <v>0.15344510119971794</v>
      </c>
      <c r="J3" s="5">
        <v>3.9114391143911437E-2</v>
      </c>
    </row>
    <row r="4" spans="1:10" x14ac:dyDescent="0.25">
      <c r="A4" s="5" t="s">
        <v>59</v>
      </c>
      <c r="B4" s="5">
        <v>1399</v>
      </c>
      <c r="C4" s="5">
        <v>70630732.719999999</v>
      </c>
      <c r="D4" s="5">
        <v>10720684.640000001</v>
      </c>
      <c r="E4" s="5">
        <v>7714</v>
      </c>
      <c r="F4" s="5">
        <v>56</v>
      </c>
      <c r="G4" s="5">
        <v>3.5854181558255895</v>
      </c>
      <c r="H4" s="5">
        <v>4.0711206896551726</v>
      </c>
      <c r="I4" s="5">
        <v>0.1517849840592734</v>
      </c>
      <c r="J4" s="5">
        <v>4.0028591851322376E-2</v>
      </c>
    </row>
  </sheetData>
  <autoFilter ref="A1:J1" xr:uid="{239A9E97-7ECE-454C-B30D-DF6ED1191DA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9EE7-FCE0-47C1-B55D-C147423E4915}">
  <dimension ref="A1:J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5703125" bestFit="1" customWidth="1"/>
    <col min="2" max="2" width="9" bestFit="1" customWidth="1"/>
    <col min="3" max="4" width="12" bestFit="1" customWidth="1"/>
    <col min="5" max="5" width="10.7109375" bestFit="1" customWidth="1"/>
    <col min="6" max="6" width="9.7109375" bestFit="1" customWidth="1"/>
    <col min="7" max="7" width="19.85546875" bestFit="1" customWidth="1"/>
    <col min="8" max="8" width="12.42578125" bestFit="1" customWidth="1"/>
    <col min="9" max="9" width="15.5703125" bestFit="1" customWidth="1"/>
    <col min="10" max="10" width="13.42578125" bestFit="1" customWidth="1"/>
  </cols>
  <sheetData>
    <row r="1" spans="1:10" x14ac:dyDescent="0.25">
      <c r="A1" s="4" t="s">
        <v>40</v>
      </c>
      <c r="B1" s="4" t="s">
        <v>51</v>
      </c>
      <c r="C1" s="4" t="s">
        <v>14</v>
      </c>
      <c r="D1" s="4" t="s">
        <v>15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41</v>
      </c>
      <c r="J1" s="4" t="s">
        <v>46</v>
      </c>
    </row>
    <row r="2" spans="1:10" x14ac:dyDescent="0.25">
      <c r="A2" s="5" t="s">
        <v>42</v>
      </c>
      <c r="B2" s="5">
        <v>1384</v>
      </c>
      <c r="C2" s="5">
        <v>153895267.88999999</v>
      </c>
      <c r="D2" s="5">
        <v>28043309.91</v>
      </c>
      <c r="E2" s="5">
        <v>7522</v>
      </c>
      <c r="F2" s="5">
        <v>42</v>
      </c>
      <c r="G2" s="5">
        <v>3.5433526011560694</v>
      </c>
      <c r="H2" s="5">
        <v>4.0822674418604654</v>
      </c>
      <c r="I2" s="5">
        <v>0.18222334120139788</v>
      </c>
      <c r="J2" s="5">
        <v>3.0346820809248554E-2</v>
      </c>
    </row>
    <row r="3" spans="1:10" x14ac:dyDescent="0.25">
      <c r="A3" s="5" t="s">
        <v>43</v>
      </c>
      <c r="B3" s="5">
        <v>1147</v>
      </c>
      <c r="C3" s="5">
        <v>51641015.609999999</v>
      </c>
      <c r="D3" s="5">
        <v>3557835.43</v>
      </c>
      <c r="E3" s="5">
        <v>6422</v>
      </c>
      <c r="F3" s="5">
        <v>88</v>
      </c>
      <c r="G3" s="5">
        <v>3.6887532693984308</v>
      </c>
      <c r="H3" s="5">
        <v>4.0277533039647579</v>
      </c>
      <c r="I3" s="5">
        <v>6.8895535612027062E-2</v>
      </c>
      <c r="J3" s="5">
        <v>7.6721883173496083E-2</v>
      </c>
    </row>
    <row r="4" spans="1:10" x14ac:dyDescent="0.25">
      <c r="A4" s="5" t="s">
        <v>44</v>
      </c>
      <c r="B4" s="5">
        <v>1669</v>
      </c>
      <c r="C4" s="5">
        <v>11481368.42</v>
      </c>
      <c r="D4" s="5">
        <v>1705167.5</v>
      </c>
      <c r="E4" s="5">
        <v>9168</v>
      </c>
      <c r="F4" s="5">
        <v>61</v>
      </c>
      <c r="G4" s="5">
        <v>3.5680047932893948</v>
      </c>
      <c r="H4" s="5">
        <v>4.071333735666868</v>
      </c>
      <c r="I4" s="5">
        <v>0.14851605119035105</v>
      </c>
      <c r="J4" s="5">
        <v>3.6548831635710009E-2</v>
      </c>
    </row>
  </sheetData>
  <autoFilter ref="A1:J1" xr:uid="{6E799EE7-FCE0-47C1-B55D-C147423E491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D7F5-167C-462A-9C98-1497739FBE43}">
  <dimension ref="A1:J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" bestFit="1" customWidth="1"/>
    <col min="3" max="3" width="12" bestFit="1" customWidth="1"/>
    <col min="4" max="4" width="11" bestFit="1" customWidth="1"/>
    <col min="5" max="5" width="10.7109375" bestFit="1" customWidth="1"/>
    <col min="6" max="6" width="9.7109375" bestFit="1" customWidth="1"/>
    <col min="7" max="7" width="19.85546875" bestFit="1" customWidth="1"/>
    <col min="8" max="8" width="12.42578125" bestFit="1" customWidth="1"/>
    <col min="9" max="9" width="15.5703125" bestFit="1" customWidth="1"/>
    <col min="10" max="10" width="13.42578125" bestFit="1" customWidth="1"/>
  </cols>
  <sheetData>
    <row r="1" spans="1:10" x14ac:dyDescent="0.25">
      <c r="A1" s="4" t="s">
        <v>45</v>
      </c>
      <c r="B1" s="4" t="s">
        <v>51</v>
      </c>
      <c r="C1" s="4" t="s">
        <v>14</v>
      </c>
      <c r="D1" s="4" t="s">
        <v>15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41</v>
      </c>
      <c r="J1" s="4" t="s">
        <v>46</v>
      </c>
    </row>
    <row r="2" spans="1:10" x14ac:dyDescent="0.25">
      <c r="A2" s="5" t="s">
        <v>47</v>
      </c>
      <c r="B2" s="5">
        <v>1210</v>
      </c>
      <c r="C2" s="5">
        <v>64693706.729999997</v>
      </c>
      <c r="D2" s="5">
        <v>9987912.3300000001</v>
      </c>
      <c r="E2" s="5">
        <v>6712</v>
      </c>
      <c r="F2" s="5">
        <v>55</v>
      </c>
      <c r="G2" s="5">
        <v>3.4380165289256199</v>
      </c>
      <c r="H2" s="5">
        <v>4.061161825726141</v>
      </c>
      <c r="I2" s="5">
        <v>0.15438769603486593</v>
      </c>
      <c r="J2" s="5">
        <v>4.5454545454545456E-2</v>
      </c>
    </row>
    <row r="3" spans="1:10" x14ac:dyDescent="0.25">
      <c r="A3" s="5" t="s">
        <v>48</v>
      </c>
      <c r="B3" s="5">
        <v>1056</v>
      </c>
      <c r="C3" s="5">
        <v>54555800.530000001</v>
      </c>
      <c r="D3" s="5">
        <v>8314884.0099999998</v>
      </c>
      <c r="E3" s="5">
        <v>5718</v>
      </c>
      <c r="F3" s="5">
        <v>47</v>
      </c>
      <c r="G3" s="5">
        <v>3.3712121212121211</v>
      </c>
      <c r="H3" s="5">
        <v>4.0715789473684216</v>
      </c>
      <c r="I3" s="5">
        <v>0.1524106314859715</v>
      </c>
      <c r="J3" s="5">
        <v>4.450757575757576E-2</v>
      </c>
    </row>
    <row r="4" spans="1:10" x14ac:dyDescent="0.25">
      <c r="A4" s="5" t="s">
        <v>49</v>
      </c>
      <c r="B4" s="5">
        <v>1037</v>
      </c>
      <c r="C4" s="5">
        <v>48908980.240000002</v>
      </c>
      <c r="D4" s="5">
        <v>7404073.3700000001</v>
      </c>
      <c r="E4" s="5">
        <v>5747</v>
      </c>
      <c r="F4" s="5">
        <v>45</v>
      </c>
      <c r="G4" s="5">
        <v>3.4059787849566057</v>
      </c>
      <c r="H4" s="5">
        <v>4.0749271137026239</v>
      </c>
      <c r="I4" s="5">
        <v>0.15138474230433066</v>
      </c>
      <c r="J4" s="5">
        <v>4.3394406943105111E-2</v>
      </c>
    </row>
    <row r="5" spans="1:10" x14ac:dyDescent="0.25">
      <c r="A5" s="5" t="s">
        <v>50</v>
      </c>
      <c r="B5" s="5">
        <v>897</v>
      </c>
      <c r="C5" s="5">
        <v>48859164.420000002</v>
      </c>
      <c r="D5" s="5">
        <v>7599443.1299999999</v>
      </c>
      <c r="E5" s="5">
        <v>4935</v>
      </c>
      <c r="F5" s="5">
        <v>44</v>
      </c>
      <c r="G5" s="5">
        <v>4.2787068004459305</v>
      </c>
      <c r="H5" s="5">
        <v>4.0419572553430827</v>
      </c>
      <c r="I5" s="5">
        <v>0.15553772194452931</v>
      </c>
      <c r="J5" s="5">
        <v>4.9052396878483832E-2</v>
      </c>
    </row>
  </sheetData>
  <autoFilter ref="A1:J1" xr:uid="{BF38D7F5-167C-462A-9C98-1497739FBE4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5890-E64D-4E74-AECB-11F9E0B3826C}">
  <dimension ref="A1:J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5" bestFit="1" customWidth="1"/>
    <col min="2" max="2" width="9" bestFit="1" customWidth="1"/>
    <col min="3" max="3" width="12" bestFit="1" customWidth="1"/>
    <col min="4" max="4" width="11" bestFit="1" customWidth="1"/>
    <col min="5" max="5" width="10.7109375" bestFit="1" customWidth="1"/>
    <col min="6" max="6" width="9.7109375" bestFit="1" customWidth="1"/>
    <col min="7" max="7" width="19.85546875" bestFit="1" customWidth="1"/>
    <col min="8" max="8" width="12.42578125" bestFit="1" customWidth="1"/>
    <col min="9" max="9" width="15.5703125" bestFit="1" customWidth="1"/>
    <col min="10" max="10" width="13.42578125" bestFit="1" customWidth="1"/>
  </cols>
  <sheetData>
    <row r="1" spans="1:10" x14ac:dyDescent="0.25">
      <c r="A1" s="4" t="s">
        <v>13</v>
      </c>
      <c r="B1" s="4" t="s">
        <v>51</v>
      </c>
      <c r="C1" s="4" t="s">
        <v>14</v>
      </c>
      <c r="D1" s="4" t="s">
        <v>15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41</v>
      </c>
      <c r="J1" s="4" t="s">
        <v>46</v>
      </c>
    </row>
    <row r="2" spans="1:10" x14ac:dyDescent="0.25">
      <c r="A2" s="5" t="s">
        <v>16</v>
      </c>
      <c r="B2" s="5">
        <v>165</v>
      </c>
      <c r="C2" s="5">
        <v>9446558.1699999999</v>
      </c>
      <c r="D2" s="5">
        <v>1462978.08</v>
      </c>
      <c r="E2" s="5">
        <v>915</v>
      </c>
      <c r="F2" s="5">
        <v>3</v>
      </c>
      <c r="G2" s="5">
        <v>3.478787878787879</v>
      </c>
      <c r="H2" s="5">
        <v>4.0956790123456788</v>
      </c>
      <c r="I2" s="5">
        <v>0.15486890078611565</v>
      </c>
      <c r="J2" s="5">
        <v>1.8181818181818181E-2</v>
      </c>
    </row>
    <row r="3" spans="1:10" x14ac:dyDescent="0.25">
      <c r="A3" s="5" t="s">
        <v>17</v>
      </c>
      <c r="B3" s="5">
        <v>172</v>
      </c>
      <c r="C3" s="5">
        <v>10485002.529999999</v>
      </c>
      <c r="D3" s="5">
        <v>1578346.02</v>
      </c>
      <c r="E3" s="5">
        <v>971</v>
      </c>
      <c r="F3" s="5">
        <v>8</v>
      </c>
      <c r="G3" s="5">
        <v>3.5988372093023258</v>
      </c>
      <c r="H3" s="5">
        <v>3.9842105263157892</v>
      </c>
      <c r="I3" s="5">
        <v>0.15053368041485823</v>
      </c>
      <c r="J3" s="5">
        <v>4.6511627906976744E-2</v>
      </c>
    </row>
    <row r="4" spans="1:10" x14ac:dyDescent="0.25">
      <c r="A4" s="5" t="s">
        <v>18</v>
      </c>
      <c r="B4" s="5">
        <v>170</v>
      </c>
      <c r="C4" s="5">
        <v>9090912.3000000007</v>
      </c>
      <c r="D4" s="5">
        <v>1336404.73</v>
      </c>
      <c r="E4" s="5">
        <v>937</v>
      </c>
      <c r="F4" s="5">
        <v>7</v>
      </c>
      <c r="G4" s="5">
        <v>3.5470588235294116</v>
      </c>
      <c r="H4" s="5">
        <v>4.0585798816568044</v>
      </c>
      <c r="I4" s="5">
        <v>0.14700446840742265</v>
      </c>
      <c r="J4" s="5">
        <v>4.1176470588235294E-2</v>
      </c>
    </row>
    <row r="5" spans="1:10" x14ac:dyDescent="0.25">
      <c r="A5" s="5" t="s">
        <v>19</v>
      </c>
      <c r="B5" s="5">
        <v>184</v>
      </c>
      <c r="C5" s="5">
        <v>8012252.1600000001</v>
      </c>
      <c r="D5" s="5">
        <v>1121281.6499999999</v>
      </c>
      <c r="E5" s="5">
        <v>1008</v>
      </c>
      <c r="F5" s="5">
        <v>6</v>
      </c>
      <c r="G5" s="5">
        <v>3.5163043478260869</v>
      </c>
      <c r="H5" s="5">
        <v>4.0652173913043477</v>
      </c>
      <c r="I5" s="5">
        <v>0.13994587634146549</v>
      </c>
      <c r="J5" s="5">
        <v>3.2608695652173912E-2</v>
      </c>
    </row>
    <row r="6" spans="1:10" x14ac:dyDescent="0.25">
      <c r="A6" s="5" t="s">
        <v>20</v>
      </c>
      <c r="B6" s="5">
        <v>146</v>
      </c>
      <c r="C6" s="5">
        <v>7461014.3499999996</v>
      </c>
      <c r="D6" s="5">
        <v>1131775.01</v>
      </c>
      <c r="E6" s="5">
        <v>847</v>
      </c>
      <c r="F6" s="5">
        <v>9</v>
      </c>
      <c r="G6" s="5">
        <v>3.7054794520547945</v>
      </c>
      <c r="H6" s="5">
        <v>4.1069444444444443</v>
      </c>
      <c r="I6" s="5">
        <v>0.15169184200805083</v>
      </c>
      <c r="J6" s="5">
        <v>6.1643835616438353E-2</v>
      </c>
    </row>
    <row r="7" spans="1:10" x14ac:dyDescent="0.25">
      <c r="A7" s="5" t="s">
        <v>21</v>
      </c>
      <c r="B7" s="5">
        <v>158</v>
      </c>
      <c r="C7" s="5">
        <v>9584609.5500000007</v>
      </c>
      <c r="D7" s="5">
        <v>1519672.3200000001</v>
      </c>
      <c r="E7" s="5">
        <v>891</v>
      </c>
      <c r="F7" s="5">
        <v>6</v>
      </c>
      <c r="G7" s="5">
        <v>3.4367088607594938</v>
      </c>
      <c r="H7" s="5">
        <v>4.0554140127388534</v>
      </c>
      <c r="I7" s="5">
        <v>0.1585533883328612</v>
      </c>
      <c r="J7" s="5">
        <v>3.7974683544303799E-2</v>
      </c>
    </row>
    <row r="8" spans="1:10" x14ac:dyDescent="0.25">
      <c r="A8" s="5" t="s">
        <v>22</v>
      </c>
      <c r="B8" s="5">
        <v>167</v>
      </c>
      <c r="C8" s="5">
        <v>7426785.6900000004</v>
      </c>
      <c r="D8" s="5">
        <v>1129891.45</v>
      </c>
      <c r="E8" s="5">
        <v>935</v>
      </c>
      <c r="F8" s="5">
        <v>5</v>
      </c>
      <c r="G8" s="5">
        <v>3.2634730538922154</v>
      </c>
      <c r="H8" s="5">
        <v>4.0843373493975905</v>
      </c>
      <c r="I8" s="5">
        <v>0.15213734408970134</v>
      </c>
      <c r="J8" s="5">
        <v>2.9940119760479042E-2</v>
      </c>
    </row>
    <row r="9" spans="1:10" x14ac:dyDescent="0.25">
      <c r="A9" s="5" t="s">
        <v>23</v>
      </c>
      <c r="B9" s="5">
        <v>149</v>
      </c>
      <c r="C9" s="5">
        <v>6303794.6900000004</v>
      </c>
      <c r="D9" s="5">
        <v>885649.73</v>
      </c>
      <c r="E9" s="5">
        <v>810</v>
      </c>
      <c r="F9" s="5">
        <v>9</v>
      </c>
      <c r="G9" s="5">
        <v>3.4966442953020134</v>
      </c>
      <c r="H9" s="5">
        <v>4.0483221476510067</v>
      </c>
      <c r="I9" s="5">
        <v>0.14049469780558477</v>
      </c>
      <c r="J9" s="5">
        <v>6.0402684563758392E-2</v>
      </c>
    </row>
    <row r="10" spans="1:10" x14ac:dyDescent="0.25">
      <c r="A10" s="5" t="s">
        <v>24</v>
      </c>
      <c r="B10" s="5">
        <v>187</v>
      </c>
      <c r="C10" s="5">
        <v>10485601.59</v>
      </c>
      <c r="D10" s="5">
        <v>1694121.6199999999</v>
      </c>
      <c r="E10" s="5">
        <v>1058</v>
      </c>
      <c r="F10" s="5">
        <v>7</v>
      </c>
      <c r="G10" s="5">
        <v>3.6096256684491981</v>
      </c>
      <c r="H10" s="5">
        <v>4.114054054054054</v>
      </c>
      <c r="I10" s="5">
        <v>0.16156646859591389</v>
      </c>
      <c r="J10" s="5">
        <v>3.7433155080213901E-2</v>
      </c>
    </row>
    <row r="11" spans="1:10" x14ac:dyDescent="0.25">
      <c r="A11" s="5" t="s">
        <v>25</v>
      </c>
      <c r="B11" s="5">
        <v>191</v>
      </c>
      <c r="C11" s="5">
        <v>9734974.620000001</v>
      </c>
      <c r="D11" s="5">
        <v>1601727.92</v>
      </c>
      <c r="E11" s="5">
        <v>1055</v>
      </c>
      <c r="F11" s="5">
        <v>13</v>
      </c>
      <c r="G11" s="5">
        <v>3.5445026178010473</v>
      </c>
      <c r="H11" s="5">
        <v>4.0513227513227514</v>
      </c>
      <c r="I11" s="5">
        <v>0.1645333431798921</v>
      </c>
      <c r="J11" s="5">
        <v>6.8062827225130892E-2</v>
      </c>
    </row>
    <row r="12" spans="1:10" x14ac:dyDescent="0.25">
      <c r="A12" s="5" t="s">
        <v>26</v>
      </c>
      <c r="B12" s="5">
        <v>196</v>
      </c>
      <c r="C12" s="5">
        <v>9253957.7599999998</v>
      </c>
      <c r="D12" s="5">
        <v>1442565.68</v>
      </c>
      <c r="E12" s="5">
        <v>1097</v>
      </c>
      <c r="F12" s="5">
        <v>10</v>
      </c>
      <c r="G12" s="5">
        <v>3.6377551020408165</v>
      </c>
      <c r="H12" s="5">
        <v>4.0409326424870464</v>
      </c>
      <c r="I12" s="5">
        <v>0.15588634802672796</v>
      </c>
      <c r="J12" s="5">
        <v>5.1020408163265307E-2</v>
      </c>
    </row>
    <row r="13" spans="1:10" x14ac:dyDescent="0.25">
      <c r="A13" s="5" t="s">
        <v>27</v>
      </c>
      <c r="B13" s="5">
        <v>172</v>
      </c>
      <c r="C13" s="5">
        <v>8955562.9900000002</v>
      </c>
      <c r="D13" s="5">
        <v>1568339.8499999999</v>
      </c>
      <c r="E13" s="5">
        <v>978</v>
      </c>
      <c r="F13" s="5">
        <v>7</v>
      </c>
      <c r="G13" s="5">
        <v>3.38953488372093</v>
      </c>
      <c r="H13" s="5">
        <v>4.0436046511627906</v>
      </c>
      <c r="I13" s="5">
        <v>0.17512465176686784</v>
      </c>
      <c r="J13" s="5">
        <v>4.0697674418604654E-2</v>
      </c>
    </row>
    <row r="14" spans="1:10" x14ac:dyDescent="0.25">
      <c r="A14" s="5" t="s">
        <v>28</v>
      </c>
      <c r="B14" s="5">
        <v>184</v>
      </c>
      <c r="C14" s="5">
        <v>8455144.2100000009</v>
      </c>
      <c r="D14" s="5">
        <v>1192204.42</v>
      </c>
      <c r="E14" s="5">
        <v>968</v>
      </c>
      <c r="F14" s="5">
        <v>11</v>
      </c>
      <c r="G14" s="5">
        <v>3.7010869565217392</v>
      </c>
      <c r="H14" s="5">
        <v>4.0461956521739131</v>
      </c>
      <c r="I14" s="5">
        <v>0.14100344008207044</v>
      </c>
      <c r="J14" s="5">
        <v>5.9782608695652176E-2</v>
      </c>
    </row>
    <row r="15" spans="1:10" x14ac:dyDescent="0.25">
      <c r="A15" s="5" t="s">
        <v>29</v>
      </c>
      <c r="B15" s="5">
        <v>180</v>
      </c>
      <c r="C15" s="5">
        <v>9853768.0999999996</v>
      </c>
      <c r="D15" s="5">
        <v>1486798.74</v>
      </c>
      <c r="E15" s="5">
        <v>955</v>
      </c>
      <c r="F15" s="5">
        <v>3</v>
      </c>
      <c r="G15" s="5">
        <v>3.3888888888888888</v>
      </c>
      <c r="H15" s="5">
        <v>4.0536312849162011</v>
      </c>
      <c r="I15" s="5">
        <v>0.15088631322671375</v>
      </c>
      <c r="J15" s="5">
        <v>1.6666666666666666E-2</v>
      </c>
    </row>
    <row r="16" spans="1:10" x14ac:dyDescent="0.25">
      <c r="A16" s="5" t="s">
        <v>30</v>
      </c>
      <c r="B16" s="5">
        <v>186</v>
      </c>
      <c r="C16" s="5">
        <v>10215892.59</v>
      </c>
      <c r="D16" s="5">
        <v>1503077.39</v>
      </c>
      <c r="E16" s="5">
        <v>1012</v>
      </c>
      <c r="F16" s="5">
        <v>7</v>
      </c>
      <c r="G16" s="5">
        <v>3.7311827956989245</v>
      </c>
      <c r="H16" s="5">
        <v>4.0840659340659338</v>
      </c>
      <c r="I16" s="5">
        <v>0.14713128361111713</v>
      </c>
      <c r="J16" s="5">
        <v>3.7634408602150539E-2</v>
      </c>
    </row>
    <row r="17" spans="1:10" x14ac:dyDescent="0.25">
      <c r="A17" s="5" t="s">
        <v>31</v>
      </c>
      <c r="B17" s="5">
        <v>163</v>
      </c>
      <c r="C17" s="5">
        <v>7193555.5200000005</v>
      </c>
      <c r="D17" s="5">
        <v>894233.59</v>
      </c>
      <c r="E17" s="5">
        <v>905</v>
      </c>
      <c r="F17" s="5">
        <v>6</v>
      </c>
      <c r="G17" s="5">
        <v>3.7177914110429446</v>
      </c>
      <c r="H17" s="5">
        <v>4.0222222222222221</v>
      </c>
      <c r="I17" s="5">
        <v>0.12431037579591794</v>
      </c>
      <c r="J17" s="5">
        <v>3.6809815950920248E-2</v>
      </c>
    </row>
    <row r="18" spans="1:10" x14ac:dyDescent="0.25">
      <c r="A18" s="5" t="s">
        <v>32</v>
      </c>
      <c r="B18" s="5">
        <v>181</v>
      </c>
      <c r="C18" s="5">
        <v>8835463.7799999993</v>
      </c>
      <c r="D18" s="5">
        <v>1311412.29</v>
      </c>
      <c r="E18" s="5">
        <v>917</v>
      </c>
      <c r="F18" s="5">
        <v>5</v>
      </c>
      <c r="G18" s="5">
        <v>3.8508287292817678</v>
      </c>
      <c r="H18" s="5">
        <v>4.0460674157303371</v>
      </c>
      <c r="I18" s="5">
        <v>0.14842597091151224</v>
      </c>
      <c r="J18" s="5">
        <v>2.7624309392265192E-2</v>
      </c>
    </row>
    <row r="19" spans="1:10" x14ac:dyDescent="0.25">
      <c r="A19" s="5" t="s">
        <v>33</v>
      </c>
      <c r="B19" s="5">
        <v>140</v>
      </c>
      <c r="C19" s="5">
        <v>7257588.1799999997</v>
      </c>
      <c r="D19" s="5">
        <v>1168737.22</v>
      </c>
      <c r="E19" s="5">
        <v>764</v>
      </c>
      <c r="F19" s="5">
        <v>5</v>
      </c>
      <c r="G19" s="5">
        <v>3.7285714285714286</v>
      </c>
      <c r="H19" s="5">
        <v>4.1371428571428579</v>
      </c>
      <c r="I19" s="5">
        <v>0.16103658557270192</v>
      </c>
      <c r="J19" s="5">
        <v>3.5714285714285712E-2</v>
      </c>
    </row>
    <row r="20" spans="1:10" x14ac:dyDescent="0.25">
      <c r="A20" s="5" t="s">
        <v>34</v>
      </c>
      <c r="B20" s="5">
        <v>189</v>
      </c>
      <c r="C20" s="5">
        <v>10661968.18</v>
      </c>
      <c r="D20" s="5">
        <v>1831220.41</v>
      </c>
      <c r="E20" s="5">
        <v>950</v>
      </c>
      <c r="F20" s="5">
        <v>8</v>
      </c>
      <c r="G20" s="5">
        <v>3.6719576719576721</v>
      </c>
      <c r="H20" s="5">
        <v>4.0455026455026459</v>
      </c>
      <c r="I20" s="5">
        <v>0.17175256754517906</v>
      </c>
      <c r="J20" s="5">
        <v>4.2328042328042326E-2</v>
      </c>
    </row>
    <row r="21" spans="1:10" x14ac:dyDescent="0.25">
      <c r="A21" s="5" t="s">
        <v>35</v>
      </c>
      <c r="B21" s="5">
        <v>203</v>
      </c>
      <c r="C21" s="5">
        <v>10861499.92</v>
      </c>
      <c r="D21" s="5">
        <v>1735384.8</v>
      </c>
      <c r="E21" s="5">
        <v>1149</v>
      </c>
      <c r="F21" s="5">
        <v>16</v>
      </c>
      <c r="G21" s="5">
        <v>3.625615763546798</v>
      </c>
      <c r="H21" s="5">
        <v>4.0079601990049749</v>
      </c>
      <c r="I21" s="5">
        <v>0.15977395505058384</v>
      </c>
      <c r="J21" s="5">
        <v>7.8817733990147784E-2</v>
      </c>
    </row>
    <row r="22" spans="1:10" x14ac:dyDescent="0.25">
      <c r="A22" s="5" t="s">
        <v>36</v>
      </c>
      <c r="B22" s="5">
        <v>165</v>
      </c>
      <c r="C22" s="5">
        <v>8033155.9699999997</v>
      </c>
      <c r="D22" s="5">
        <v>1184389.44</v>
      </c>
      <c r="E22" s="5">
        <v>898</v>
      </c>
      <c r="F22" s="5">
        <v>11</v>
      </c>
      <c r="G22" s="5">
        <v>3.5878787878787879</v>
      </c>
      <c r="H22" s="5">
        <v>4.1030303030303035</v>
      </c>
      <c r="I22" s="5">
        <v>0.147437625314774</v>
      </c>
      <c r="J22" s="5">
        <v>6.6666666666666666E-2</v>
      </c>
    </row>
    <row r="23" spans="1:10" x14ac:dyDescent="0.25">
      <c r="A23" s="5" t="s">
        <v>37</v>
      </c>
      <c r="B23" s="5">
        <v>198</v>
      </c>
      <c r="C23" s="5">
        <v>10109298.77</v>
      </c>
      <c r="D23" s="5">
        <v>1519629.18</v>
      </c>
      <c r="E23" s="5">
        <v>1084</v>
      </c>
      <c r="F23" s="5">
        <v>13</v>
      </c>
      <c r="G23" s="5">
        <v>3.7373737373737375</v>
      </c>
      <c r="H23" s="5">
        <v>4.0336734693877556</v>
      </c>
      <c r="I23" s="5">
        <v>0.15031993955007031</v>
      </c>
      <c r="J23" s="5">
        <v>6.5656565656565663E-2</v>
      </c>
    </row>
    <row r="24" spans="1:10" x14ac:dyDescent="0.25">
      <c r="A24" s="5" t="s">
        <v>38</v>
      </c>
      <c r="B24" s="5">
        <v>195</v>
      </c>
      <c r="C24" s="5">
        <v>10203938.540000001</v>
      </c>
      <c r="D24" s="5">
        <v>1608714.65</v>
      </c>
      <c r="E24" s="5">
        <v>1100</v>
      </c>
      <c r="F24" s="5">
        <v>6</v>
      </c>
      <c r="G24" s="5">
        <v>3.6205128205128205</v>
      </c>
      <c r="H24" s="5">
        <v>4.0737113402061853</v>
      </c>
      <c r="I24" s="5">
        <v>0.15765624652615751</v>
      </c>
      <c r="J24" s="5">
        <v>3.0769230769230771E-2</v>
      </c>
    </row>
    <row r="25" spans="1:10" x14ac:dyDescent="0.25">
      <c r="A25" s="5" t="s">
        <v>39</v>
      </c>
      <c r="B25" s="5">
        <v>159</v>
      </c>
      <c r="C25" s="5">
        <v>9095351.7599999998</v>
      </c>
      <c r="D25" s="5">
        <v>1397756.65</v>
      </c>
      <c r="E25" s="5">
        <v>908</v>
      </c>
      <c r="F25" s="5">
        <v>10</v>
      </c>
      <c r="G25" s="5">
        <v>3.591194968553459</v>
      </c>
      <c r="H25" s="5">
        <v>4.1541401273885352</v>
      </c>
      <c r="I25" s="5">
        <v>0.15367812998141811</v>
      </c>
      <c r="J25" s="5">
        <v>6.2893081761006289E-2</v>
      </c>
    </row>
  </sheetData>
  <autoFilter ref="A1:J1" xr:uid="{F3305890-E64D-4E74-AECB-11F9E0B3826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21FB-5E86-4DA1-BF53-CC5D7DC8A8C4}">
  <dimension ref="A1:B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5.28515625" bestFit="1" customWidth="1"/>
    <col min="2" max="2" width="12" bestFit="1" customWidth="1"/>
  </cols>
  <sheetData>
    <row r="1" spans="1:2" x14ac:dyDescent="0.25">
      <c r="A1" s="4" t="s">
        <v>1</v>
      </c>
      <c r="B1" s="4" t="s">
        <v>2</v>
      </c>
    </row>
    <row r="2" spans="1:2" x14ac:dyDescent="0.25">
      <c r="A2" s="5" t="s">
        <v>3</v>
      </c>
      <c r="B2" s="5">
        <v>4200</v>
      </c>
    </row>
    <row r="3" spans="1:2" x14ac:dyDescent="0.25">
      <c r="A3" s="5" t="s">
        <v>4</v>
      </c>
      <c r="B3" s="5">
        <v>217017651.91999999</v>
      </c>
    </row>
    <row r="4" spans="1:2" x14ac:dyDescent="0.25">
      <c r="A4" s="5" t="s">
        <v>5</v>
      </c>
      <c r="B4" s="5">
        <v>33306312.840000004</v>
      </c>
    </row>
    <row r="5" spans="1:2" x14ac:dyDescent="0.25">
      <c r="A5" s="5" t="s">
        <v>6</v>
      </c>
      <c r="B5" s="5">
        <v>0.15347282834060813</v>
      </c>
    </row>
    <row r="6" spans="1:2" x14ac:dyDescent="0.25">
      <c r="A6" s="5" t="s">
        <v>7</v>
      </c>
      <c r="B6" s="5">
        <v>23112</v>
      </c>
    </row>
    <row r="7" spans="1:2" x14ac:dyDescent="0.25">
      <c r="A7" s="5" t="s">
        <v>8</v>
      </c>
      <c r="B7" s="5">
        <v>4.5476190476190476E-2</v>
      </c>
    </row>
    <row r="8" spans="1:2" x14ac:dyDescent="0.25">
      <c r="A8" s="5" t="s">
        <v>9</v>
      </c>
      <c r="B8" s="5">
        <v>3.592857142857143</v>
      </c>
    </row>
    <row r="9" spans="1:2" x14ac:dyDescent="0.25">
      <c r="A9" s="5" t="s">
        <v>10</v>
      </c>
      <c r="B9" s="5">
        <v>4.063075815738963</v>
      </c>
    </row>
    <row r="10" spans="1:2" x14ac:dyDescent="0.25">
      <c r="A10" s="5" t="s">
        <v>11</v>
      </c>
      <c r="B10" s="5">
        <v>32</v>
      </c>
    </row>
    <row r="11" spans="1:2" x14ac:dyDescent="0.25">
      <c r="A11" s="5" t="s">
        <v>12</v>
      </c>
      <c r="B11" s="5">
        <v>24</v>
      </c>
    </row>
  </sheetData>
  <autoFilter ref="A1:B1" xr:uid="{E7B521FB-5E86-4DA1-BF53-CC5D7DC8A8C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6F67-EBA9-43D5-9014-C5DE3CC4311A}">
  <dimension ref="A1:N39"/>
  <sheetViews>
    <sheetView workbookViewId="0"/>
  </sheetViews>
  <sheetFormatPr defaultRowHeight="15" x14ac:dyDescent="0.25"/>
  <cols>
    <col min="1" max="1" width="25.28515625" bestFit="1" customWidth="1"/>
    <col min="2" max="2" width="12" bestFit="1" customWidth="1"/>
    <col min="3" max="3" width="11" bestFit="1" customWidth="1"/>
    <col min="6" max="6" width="14.5703125" bestFit="1" customWidth="1"/>
    <col min="7" max="8" width="12" bestFit="1" customWidth="1"/>
    <col min="9" max="9" width="13.28515625" bestFit="1" customWidth="1"/>
    <col min="10" max="10" width="12" bestFit="1" customWidth="1"/>
  </cols>
  <sheetData>
    <row r="1" spans="1:14" ht="27.9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F3" s="2" t="s">
        <v>45</v>
      </c>
      <c r="G3" s="2" t="s">
        <v>14</v>
      </c>
      <c r="H3" s="2" t="s">
        <v>15</v>
      </c>
      <c r="I3" s="2" t="s">
        <v>41</v>
      </c>
      <c r="J3" s="2" t="s">
        <v>46</v>
      </c>
    </row>
    <row r="4" spans="1:14" x14ac:dyDescent="0.25">
      <c r="A4" s="3" t="s">
        <v>3</v>
      </c>
      <c r="B4" s="3">
        <v>4200</v>
      </c>
      <c r="F4" s="3" t="s">
        <v>47</v>
      </c>
      <c r="G4" s="3">
        <v>64693706.729999997</v>
      </c>
      <c r="H4" s="3">
        <v>9987912.3300000001</v>
      </c>
      <c r="I4" s="3">
        <v>0.15438769603486593</v>
      </c>
      <c r="J4" s="3">
        <v>4.5454545454545456E-2</v>
      </c>
    </row>
    <row r="5" spans="1:14" x14ac:dyDescent="0.25">
      <c r="A5" s="3" t="s">
        <v>4</v>
      </c>
      <c r="B5" s="3">
        <v>217017651.91999999</v>
      </c>
      <c r="F5" s="3" t="s">
        <v>48</v>
      </c>
      <c r="G5" s="3">
        <v>54555800.530000001</v>
      </c>
      <c r="H5" s="3">
        <v>8314884.0099999998</v>
      </c>
      <c r="I5" s="3">
        <v>0.1524106314859715</v>
      </c>
      <c r="J5" s="3">
        <v>4.450757575757576E-2</v>
      </c>
    </row>
    <row r="6" spans="1:14" x14ac:dyDescent="0.25">
      <c r="A6" s="3" t="s">
        <v>5</v>
      </c>
      <c r="B6" s="3">
        <v>33306312.840000004</v>
      </c>
      <c r="F6" s="3" t="s">
        <v>49</v>
      </c>
      <c r="G6" s="3">
        <v>48908980.240000002</v>
      </c>
      <c r="H6" s="3">
        <v>7404073.3700000001</v>
      </c>
      <c r="I6" s="3">
        <v>0.15138474230433066</v>
      </c>
      <c r="J6" s="3">
        <v>4.3394406943105111E-2</v>
      </c>
    </row>
    <row r="7" spans="1:14" x14ac:dyDescent="0.25">
      <c r="A7" s="3" t="s">
        <v>6</v>
      </c>
      <c r="B7" s="3">
        <v>0.15347282834060813</v>
      </c>
      <c r="F7" s="3" t="s">
        <v>50</v>
      </c>
      <c r="G7" s="3">
        <v>48859164.420000002</v>
      </c>
      <c r="H7" s="3">
        <v>7599443.1299999999</v>
      </c>
      <c r="I7" s="3">
        <v>0.15553772194452931</v>
      </c>
      <c r="J7" s="3">
        <v>4.9052396878483832E-2</v>
      </c>
    </row>
    <row r="8" spans="1:14" x14ac:dyDescent="0.25">
      <c r="A8" s="3" t="s">
        <v>7</v>
      </c>
      <c r="B8" s="3">
        <v>23112</v>
      </c>
    </row>
    <row r="9" spans="1:14" x14ac:dyDescent="0.25">
      <c r="A9" s="3" t="s">
        <v>8</v>
      </c>
      <c r="B9" s="3">
        <v>4.5476190476190476E-2</v>
      </c>
    </row>
    <row r="10" spans="1:14" x14ac:dyDescent="0.25">
      <c r="A10" s="3" t="s">
        <v>9</v>
      </c>
      <c r="B10" s="3">
        <v>3.592857142857143</v>
      </c>
    </row>
    <row r="11" spans="1:14" x14ac:dyDescent="0.25">
      <c r="A11" s="3" t="s">
        <v>10</v>
      </c>
      <c r="B11" s="3">
        <v>4.063075815738963</v>
      </c>
    </row>
    <row r="12" spans="1:14" x14ac:dyDescent="0.25">
      <c r="A12" s="3" t="s">
        <v>11</v>
      </c>
      <c r="B12" s="3">
        <v>32</v>
      </c>
    </row>
    <row r="13" spans="1:14" x14ac:dyDescent="0.25">
      <c r="A13" s="3" t="s">
        <v>12</v>
      </c>
      <c r="B13" s="3">
        <v>24</v>
      </c>
    </row>
    <row r="15" spans="1:14" x14ac:dyDescent="0.25">
      <c r="A15" s="2" t="s">
        <v>13</v>
      </c>
      <c r="B15" s="2" t="s">
        <v>14</v>
      </c>
      <c r="C15" s="2" t="s">
        <v>15</v>
      </c>
      <c r="F15" s="2" t="s">
        <v>40</v>
      </c>
      <c r="G15" s="2" t="s">
        <v>14</v>
      </c>
      <c r="H15" s="2" t="s">
        <v>15</v>
      </c>
      <c r="I15" s="2" t="s">
        <v>41</v>
      </c>
    </row>
    <row r="16" spans="1:14" x14ac:dyDescent="0.25">
      <c r="A16" s="3" t="s">
        <v>16</v>
      </c>
      <c r="B16" s="3">
        <v>9446558.1699999999</v>
      </c>
      <c r="C16" s="3">
        <v>1462978.08</v>
      </c>
      <c r="F16" s="3" t="s">
        <v>42</v>
      </c>
      <c r="G16" s="3">
        <v>153895267.88999999</v>
      </c>
      <c r="H16" s="3">
        <v>28043309.91</v>
      </c>
      <c r="I16" s="3">
        <v>0.18222334120139788</v>
      </c>
    </row>
    <row r="17" spans="1:9" x14ac:dyDescent="0.25">
      <c r="A17" s="3" t="s">
        <v>17</v>
      </c>
      <c r="B17" s="3">
        <v>10485002.529999999</v>
      </c>
      <c r="C17" s="3">
        <v>1578346.02</v>
      </c>
      <c r="F17" s="3" t="s">
        <v>43</v>
      </c>
      <c r="G17" s="3">
        <v>51641015.609999999</v>
      </c>
      <c r="H17" s="3">
        <v>3557835.43</v>
      </c>
      <c r="I17" s="3">
        <v>6.8895535612027062E-2</v>
      </c>
    </row>
    <row r="18" spans="1:9" x14ac:dyDescent="0.25">
      <c r="A18" s="3" t="s">
        <v>18</v>
      </c>
      <c r="B18" s="3">
        <v>9090912.3000000007</v>
      </c>
      <c r="C18" s="3">
        <v>1336404.73</v>
      </c>
      <c r="F18" s="3" t="s">
        <v>44</v>
      </c>
      <c r="G18" s="3">
        <v>11481368.42</v>
      </c>
      <c r="H18" s="3">
        <v>1705167.5</v>
      </c>
      <c r="I18" s="3">
        <v>0.14851605119035105</v>
      </c>
    </row>
    <row r="19" spans="1:9" x14ac:dyDescent="0.25">
      <c r="A19" s="3" t="s">
        <v>19</v>
      </c>
      <c r="B19" s="3">
        <v>8012252.1600000001</v>
      </c>
      <c r="C19" s="3">
        <v>1121281.6499999999</v>
      </c>
    </row>
    <row r="20" spans="1:9" x14ac:dyDescent="0.25">
      <c r="A20" s="3" t="s">
        <v>20</v>
      </c>
      <c r="B20" s="3">
        <v>7461014.3499999996</v>
      </c>
      <c r="C20" s="3">
        <v>1131775.01</v>
      </c>
    </row>
    <row r="21" spans="1:9" x14ac:dyDescent="0.25">
      <c r="A21" s="3" t="s">
        <v>21</v>
      </c>
      <c r="B21" s="3">
        <v>9584609.5500000007</v>
      </c>
      <c r="C21" s="3">
        <v>1519672.3200000001</v>
      </c>
    </row>
    <row r="22" spans="1:9" x14ac:dyDescent="0.25">
      <c r="A22" s="3" t="s">
        <v>22</v>
      </c>
      <c r="B22" s="3">
        <v>7426785.6900000004</v>
      </c>
      <c r="C22" s="3">
        <v>1129891.45</v>
      </c>
    </row>
    <row r="23" spans="1:9" x14ac:dyDescent="0.25">
      <c r="A23" s="3" t="s">
        <v>23</v>
      </c>
      <c r="B23" s="3">
        <v>6303794.6900000004</v>
      </c>
      <c r="C23" s="3">
        <v>885649.73</v>
      </c>
    </row>
    <row r="24" spans="1:9" x14ac:dyDescent="0.25">
      <c r="A24" s="3" t="s">
        <v>24</v>
      </c>
      <c r="B24" s="3">
        <v>10485601.59</v>
      </c>
      <c r="C24" s="3">
        <v>1694121.6199999999</v>
      </c>
    </row>
    <row r="25" spans="1:9" x14ac:dyDescent="0.25">
      <c r="A25" s="3" t="s">
        <v>25</v>
      </c>
      <c r="B25" s="3">
        <v>9734974.620000001</v>
      </c>
      <c r="C25" s="3">
        <v>1601727.92</v>
      </c>
    </row>
    <row r="26" spans="1:9" x14ac:dyDescent="0.25">
      <c r="A26" s="3" t="s">
        <v>26</v>
      </c>
      <c r="B26" s="3">
        <v>9253957.7599999998</v>
      </c>
      <c r="C26" s="3">
        <v>1442565.68</v>
      </c>
    </row>
    <row r="27" spans="1:9" x14ac:dyDescent="0.25">
      <c r="A27" s="3" t="s">
        <v>27</v>
      </c>
      <c r="B27" s="3">
        <v>8955562.9900000002</v>
      </c>
      <c r="C27" s="3">
        <v>1568339.8499999999</v>
      </c>
    </row>
    <row r="28" spans="1:9" x14ac:dyDescent="0.25">
      <c r="A28" s="3" t="s">
        <v>28</v>
      </c>
      <c r="B28" s="3">
        <v>8455144.2100000009</v>
      </c>
      <c r="C28" s="3">
        <v>1192204.42</v>
      </c>
    </row>
    <row r="29" spans="1:9" x14ac:dyDescent="0.25">
      <c r="A29" s="3" t="s">
        <v>29</v>
      </c>
      <c r="B29" s="3">
        <v>9853768.0999999996</v>
      </c>
      <c r="C29" s="3">
        <v>1486798.74</v>
      </c>
    </row>
    <row r="30" spans="1:9" x14ac:dyDescent="0.25">
      <c r="A30" s="3" t="s">
        <v>30</v>
      </c>
      <c r="B30" s="3">
        <v>10215892.59</v>
      </c>
      <c r="C30" s="3">
        <v>1503077.39</v>
      </c>
    </row>
    <row r="31" spans="1:9" x14ac:dyDescent="0.25">
      <c r="A31" s="3" t="s">
        <v>31</v>
      </c>
      <c r="B31" s="3">
        <v>7193555.5200000005</v>
      </c>
      <c r="C31" s="3">
        <v>894233.59</v>
      </c>
    </row>
    <row r="32" spans="1:9" x14ac:dyDescent="0.25">
      <c r="A32" s="3" t="s">
        <v>32</v>
      </c>
      <c r="B32" s="3">
        <v>8835463.7799999993</v>
      </c>
      <c r="C32" s="3">
        <v>1311412.29</v>
      </c>
    </row>
    <row r="33" spans="1:3" x14ac:dyDescent="0.25">
      <c r="A33" s="3" t="s">
        <v>33</v>
      </c>
      <c r="B33" s="3">
        <v>7257588.1799999997</v>
      </c>
      <c r="C33" s="3">
        <v>1168737.22</v>
      </c>
    </row>
    <row r="34" spans="1:3" x14ac:dyDescent="0.25">
      <c r="A34" s="3" t="s">
        <v>34</v>
      </c>
      <c r="B34" s="3">
        <v>10661968.18</v>
      </c>
      <c r="C34" s="3">
        <v>1831220.41</v>
      </c>
    </row>
    <row r="35" spans="1:3" x14ac:dyDescent="0.25">
      <c r="A35" s="3" t="s">
        <v>35</v>
      </c>
      <c r="B35" s="3">
        <v>10861499.92</v>
      </c>
      <c r="C35" s="3">
        <v>1735384.8</v>
      </c>
    </row>
    <row r="36" spans="1:3" x14ac:dyDescent="0.25">
      <c r="A36" s="3" t="s">
        <v>36</v>
      </c>
      <c r="B36" s="3">
        <v>8033155.9699999997</v>
      </c>
      <c r="C36" s="3">
        <v>1184389.44</v>
      </c>
    </row>
    <row r="37" spans="1:3" x14ac:dyDescent="0.25">
      <c r="A37" s="3" t="s">
        <v>37</v>
      </c>
      <c r="B37" s="3">
        <v>10109298.77</v>
      </c>
      <c r="C37" s="3">
        <v>1519629.18</v>
      </c>
    </row>
    <row r="38" spans="1:3" x14ac:dyDescent="0.25">
      <c r="A38" s="3" t="s">
        <v>38</v>
      </c>
      <c r="B38" s="3">
        <v>10203938.540000001</v>
      </c>
      <c r="C38" s="3">
        <v>1608714.65</v>
      </c>
    </row>
    <row r="39" spans="1:3" x14ac:dyDescent="0.25">
      <c r="A39" s="3" t="s">
        <v>39</v>
      </c>
      <c r="B39" s="3">
        <v>9095351.7599999998</v>
      </c>
      <c r="C39" s="3">
        <v>1397756.65</v>
      </c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bottom_subcategories</vt:lpstr>
      <vt:lpstr>top_subcategories</vt:lpstr>
      <vt:lpstr>sales_by_ship_mode</vt:lpstr>
      <vt:lpstr>sales_by_campaign</vt:lpstr>
      <vt:lpstr>sales_by_segment</vt:lpstr>
      <vt:lpstr>sales_by_category</vt:lpstr>
      <vt:lpstr>sales_by_region</vt:lpstr>
      <vt:lpstr>sales_by_month</vt:lpstr>
      <vt:lpstr>sales_kpis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Bhatnagar</dc:creator>
  <cp:lastModifiedBy>Sambhav Bhatnagar</cp:lastModifiedBy>
  <dcterms:created xsi:type="dcterms:W3CDTF">2026-06-28T16:50:53Z</dcterms:created>
  <dcterms:modified xsi:type="dcterms:W3CDTF">2026-06-28T16:50:55Z</dcterms:modified>
</cp:coreProperties>
</file>